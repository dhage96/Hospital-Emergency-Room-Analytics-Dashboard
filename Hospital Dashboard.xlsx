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dhage\Downloads\Hospital_Emergency_Room_Dashboard-main\"/>
    </mc:Choice>
  </mc:AlternateContent>
  <xr:revisionPtr revIDLastSave="0" documentId="13_ncr:1_{73D6C2E6-03F3-4EC7-8965-AA65AFEAD613}" xr6:coauthVersionLast="47" xr6:coauthVersionMax="47" xr10:uidLastSave="{00000000-0000-0000-0000-000000000000}"/>
  <bookViews>
    <workbookView xWindow="-120" yWindow="-120" windowWidth="20730" windowHeight="11040" firstSheet="1" activeTab="1" xr2:uid="{7985E127-C8A5-4F31-B903-87E506365471}"/>
  </bookViews>
  <sheets>
    <sheet name="Pivot Report" sheetId="1" r:id="rId1"/>
    <sheet name="Dashboard" sheetId="2" r:id="rId2"/>
    <sheet name="patient satisfication score" sheetId="6" r:id="rId3"/>
    <sheet name="Average Wait Time" sheetId="5" r:id="rId4"/>
    <sheet name="Daily ER No of Patients" sheetId="3" r:id="rId5"/>
  </sheets>
  <definedNames>
    <definedName name="Slicer_Date__Month">#N/A</definedName>
    <definedName name="Slicer_Date__Year">#N/A</definedName>
  </definedNames>
  <calcPr calcId="191029"/>
  <pivotCaches>
    <pivotCache cacheId="556" r:id="rId6"/>
    <pivotCache cacheId="559" r:id="rId7"/>
    <pivotCache cacheId="562" r:id="rId8"/>
    <pivotCache cacheId="565" r:id="rId9"/>
    <pivotCache cacheId="568" r:id="rId10"/>
    <pivotCache cacheId="571" r:id="rId11"/>
    <pivotCache cacheId="574" r:id="rId12"/>
    <pivotCache cacheId="577" r:id="rId13"/>
    <pivotCache cacheId="580" r:id="rId14"/>
    <pivotCache cacheId="583" r:id="rId15"/>
    <pivotCache cacheId="586" r:id="rId16"/>
    <pivotCache cacheId="589"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d137ff6-e823-433a-bb15-e4c730707c78" name="Hospital Emergency Room Data" connection="Query - Hospital Emergency Room Data"/>
          <x15:modelTable id="Calender_table_6016297b-63f3-4628-ab77-b3f461fe68e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30" i="1" l="1"/>
  <c r="C30" i="1"/>
  <c r="A30" i="1"/>
  <c r="B29" i="1"/>
  <c r="C29" i="1"/>
  <c r="A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6D6090-004F-414B-9F2A-4D989C3286C5}" name="Query - Calender_table" description="Connection to the 'Calender_table' query in the workbook." type="100" refreshedVersion="8" minRefreshableVersion="5">
    <extLst>
      <ext xmlns:x15="http://schemas.microsoft.com/office/spreadsheetml/2010/11/main" uri="{DE250136-89BD-433C-8126-D09CA5730AF9}">
        <x15:connection id="d63ebcb4-8fc8-4ca6-8886-0c480b9ddded"/>
      </ext>
    </extLst>
  </connection>
  <connection id="2" xr16:uid="{D558B593-8308-40B2-B51C-EF7ED796691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f0c3c22-7773-47ea-9221-e34d69ed8a49"/>
      </ext>
    </extLst>
  </connection>
  <connection id="3" xr16:uid="{7C1A7F34-0469-4F6F-BD45-46DD2BF236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<sst xmlns="http://schemas.openxmlformats.org/spreadsheetml/2006/main" count="152" uniqueCount="72">
  <si>
    <t>Count of Patient Id</t>
  </si>
  <si>
    <t>Distinct Count of Patient Id</t>
  </si>
  <si>
    <t>No of Patient</t>
  </si>
  <si>
    <t>Average of Patient Waittime</t>
  </si>
  <si>
    <t>Average of Patient Satisfaction Score</t>
  </si>
  <si>
    <t>Row Labels</t>
  </si>
  <si>
    <t>Grand Total</t>
  </si>
  <si>
    <t>2024</t>
  </si>
  <si>
    <t>daily trends</t>
  </si>
  <si>
    <t>Average wait time</t>
  </si>
  <si>
    <t>Male</t>
  </si>
  <si>
    <t>None</t>
  </si>
  <si>
    <t>Admitted</t>
  </si>
  <si>
    <t>50-59</t>
  </si>
  <si>
    <t>Delay</t>
  </si>
  <si>
    <t>0-09</t>
  </si>
  <si>
    <t>Female</t>
  </si>
  <si>
    <t>20-29</t>
  </si>
  <si>
    <t>General Practice</t>
  </si>
  <si>
    <t>40-49</t>
  </si>
  <si>
    <t>Not Admitted</t>
  </si>
  <si>
    <t>OnTime</t>
  </si>
  <si>
    <t>Orthopedics</t>
  </si>
  <si>
    <t>10-19</t>
  </si>
  <si>
    <t>30-39</t>
  </si>
  <si>
    <t>Count of Patient Admission Flag</t>
  </si>
  <si>
    <t>Count of Patient Admission Flag2</t>
  </si>
  <si>
    <t>Admission Status</t>
  </si>
  <si>
    <t>No. of  Patients</t>
  </si>
  <si>
    <t>% Status</t>
  </si>
  <si>
    <t>60-69</t>
  </si>
  <si>
    <t>70-79</t>
  </si>
  <si>
    <t>Count of Age Group</t>
  </si>
  <si>
    <t xml:space="preserve">  Row Labels</t>
  </si>
  <si>
    <t>Count of Patient Gender</t>
  </si>
  <si>
    <t>Cardiology</t>
  </si>
  <si>
    <t>Gastroenterology</t>
  </si>
  <si>
    <t>Neurology</t>
  </si>
  <si>
    <t>Physiotherapy</t>
  </si>
  <si>
    <t>Renal</t>
  </si>
  <si>
    <t>Count of Department Referral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</si>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</sst>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34998626667073579"/>
        <bgColor indexed="64"/>
      </patternFill>
    </fill>
    <fill>
      <patternFill patternType="solid">
        <fgColor rgb="FF0070C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9" fontId="0" fillId="0" borderId="0" xfId="1" applyFont="1"/>
    <xf numFmtId="0" fontId="0" fillId="4" borderId="0" xfId="0" applyFill="1" applyAlignment="1">
      <alignment horizontal="left"/>
    </xf>
    <xf numFmtId="0" fontId="0" fillId="4" borderId="0" xfId="0" applyFill="1"/>
    <xf numFmtId="1" fontId="0" fillId="0" borderId="0" xfId="0" applyNumberFormat="1"/>
    <xf numFmtId="0" fontId="0" fillId="0" borderId="0" xfId="0" applyNumberFormat="1"/>
  </cellXfs>
  <cellStyles count="2">
    <cellStyle name="Normal" xfId="0" builtinId="0"/>
    <cellStyle name="Percent" xfId="1" builtinId="5"/>
  </cellStyles>
  <dxfs count="259">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7"/>
        <color theme="1"/>
      </font>
      <fill>
        <patternFill patternType="solid">
          <bgColor theme="0" tint="-0.24994659260841701"/>
        </patternFill>
      </fill>
      <border diagonalUp="0" diagonalDown="0">
        <left/>
        <right/>
        <top/>
        <bottom/>
        <vertical/>
        <horizontal/>
      </border>
    </dxf>
    <dxf>
      <font>
        <b/>
        <color theme="1"/>
      </font>
      <border>
        <bottom style="thin">
          <color theme="5"/>
        </bottom>
        <vertical/>
        <horizontal/>
      </border>
    </dxf>
    <dxf>
      <font>
        <sz val="8"/>
        <color theme="1"/>
      </font>
      <fill>
        <patternFill patternType="solid">
          <bgColor theme="0" tint="-0.24994659260841701"/>
        </patternFill>
      </fill>
      <border diagonalUp="0" diagonalDown="0">
        <left/>
        <right/>
        <top/>
        <bottom/>
        <vertical/>
        <horizontal/>
      </border>
    </dxf>
  </dxfs>
  <tableStyles count="2" defaultTableStyle="TableStyleMedium2" defaultPivotStyle="PivotStyleLight16">
    <tableStyle name="My Style" pivot="0" table="0" count="10" xr9:uid="{7F9B401A-FDEB-449A-905B-42A7F6F3A850}">
      <tableStyleElement type="wholeTable" dxfId="258"/>
      <tableStyleElement type="headerRow" dxfId="257"/>
    </tableStyle>
    <tableStyle name="my2" pivot="0" table="0" count="10" xr9:uid="{80F5FD69-57AE-4D66-ABDD-59894610B5C5}">
      <tableStyleElement type="wholeTable" dxfId="256"/>
      <tableStyleElement type="headerRow" dxfId="25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3393936210205244E-2"/>
          <c:w val="1"/>
          <c:h val="0.9166060637897947"/>
        </c:manualLayout>
      </c:layout>
      <c:barChart>
        <c:barDir val="bar"/>
        <c:grouping val="clustered"/>
        <c:varyColors val="0"/>
        <c:ser>
          <c:idx val="0"/>
          <c:order val="0"/>
          <c:tx>
            <c:strRef>
              <c:f>'Pivot Report'!$B$22</c:f>
              <c:strCache>
                <c:ptCount val="1"/>
                <c:pt idx="0">
                  <c:v>Count of Patient Admission Flag</c:v>
                </c:pt>
              </c:strCache>
            </c:strRef>
          </c:tx>
          <c:spPr>
            <a:solidFill>
              <a:schemeClr val="accent1"/>
            </a:solidFill>
            <a:ln>
              <a:noFill/>
            </a:ln>
            <a:effectLst/>
          </c:spPr>
          <c:invertIfNegative val="0"/>
          <c:cat>
            <c:strRef>
              <c:f>'Pivot Report'!$A$23:$A$25</c:f>
              <c:strCache>
                <c:ptCount val="2"/>
                <c:pt idx="0">
                  <c:v>Admitted</c:v>
                </c:pt>
                <c:pt idx="1">
                  <c:v>Not Admitted</c:v>
                </c:pt>
              </c:strCache>
            </c:strRef>
          </c:cat>
          <c:val>
            <c:numRef>
              <c:f>'Pivot Report'!$B$23:$B$25</c:f>
              <c:numCache>
                <c:formatCode>0.00</c:formatCode>
                <c:ptCount val="2"/>
                <c:pt idx="0">
                  <c:v>253</c:v>
                </c:pt>
                <c:pt idx="1">
                  <c:v>253</c:v>
                </c:pt>
              </c:numCache>
            </c:numRef>
          </c:val>
          <c:extLst>
            <c:ext xmlns:c16="http://schemas.microsoft.com/office/drawing/2014/chart" uri="{C3380CC4-5D6E-409C-BE32-E72D297353CC}">
              <c16:uniqueId val="{00000000-C156-4C0A-8F02-F1322639C137}"/>
            </c:ext>
          </c:extLst>
        </c:ser>
        <c:ser>
          <c:idx val="1"/>
          <c:order val="1"/>
          <c:tx>
            <c:strRef>
              <c:f>'Pivot Report'!$C$22</c:f>
              <c:strCache>
                <c:ptCount val="1"/>
                <c:pt idx="0">
                  <c:v>Count of Patient Admission Flag2</c:v>
                </c:pt>
              </c:strCache>
            </c:strRef>
          </c:tx>
          <c:spPr>
            <a:solidFill>
              <a:schemeClr val="accent2"/>
            </a:solidFill>
            <a:ln>
              <a:noFill/>
            </a:ln>
            <a:effectLst/>
          </c:spPr>
          <c:invertIfNegative val="0"/>
          <c:cat>
            <c:strRef>
              <c:f>'Pivot Report'!$A$23:$A$25</c:f>
              <c:strCache>
                <c:ptCount val="2"/>
                <c:pt idx="0">
                  <c:v>Admitted</c:v>
                </c:pt>
                <c:pt idx="1">
                  <c:v>Not Admitted</c:v>
                </c:pt>
              </c:strCache>
            </c:strRef>
          </c:cat>
          <c:val>
            <c:numRef>
              <c:f>'Pivot Report'!$C$23:$C$25</c:f>
              <c:numCache>
                <c:formatCode>0.00%</c:formatCode>
                <c:ptCount val="2"/>
                <c:pt idx="0">
                  <c:v>0.5</c:v>
                </c:pt>
                <c:pt idx="1">
                  <c:v>0.5</c:v>
                </c:pt>
              </c:numCache>
            </c:numRef>
          </c:val>
          <c:extLst>
            <c:ext xmlns:c16="http://schemas.microsoft.com/office/drawing/2014/chart" uri="{C3380CC4-5D6E-409C-BE32-E72D297353CC}">
              <c16:uniqueId val="{00000001-C156-4C0A-8F02-F1322639C137}"/>
            </c:ext>
          </c:extLst>
        </c:ser>
        <c:dLbls>
          <c:showLegendKey val="0"/>
          <c:showVal val="0"/>
          <c:showCatName val="0"/>
          <c:showSerName val="0"/>
          <c:showPercent val="0"/>
          <c:showBubbleSize val="0"/>
        </c:dLbls>
        <c:gapWidth val="0"/>
        <c:axId val="585898575"/>
        <c:axId val="585893295"/>
      </c:barChart>
      <c:catAx>
        <c:axId val="585898575"/>
        <c:scaling>
          <c:orientation val="minMax"/>
        </c:scaling>
        <c:delete val="1"/>
        <c:axPos val="l"/>
        <c:numFmt formatCode="General" sourceLinked="1"/>
        <c:majorTickMark val="none"/>
        <c:minorTickMark val="none"/>
        <c:tickLblPos val="nextTo"/>
        <c:crossAx val="585893295"/>
        <c:crosses val="autoZero"/>
        <c:auto val="1"/>
        <c:lblAlgn val="ctr"/>
        <c:lblOffset val="100"/>
        <c:noMultiLvlLbl val="0"/>
      </c:catAx>
      <c:valAx>
        <c:axId val="585893295"/>
        <c:scaling>
          <c:orientation val="minMax"/>
        </c:scaling>
        <c:delete val="1"/>
        <c:axPos val="b"/>
        <c:numFmt formatCode="0.00" sourceLinked="1"/>
        <c:majorTickMark val="none"/>
        <c:minorTickMark val="none"/>
        <c:tickLblPos val="nextTo"/>
        <c:crossAx val="58589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2"/>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21489397228262E-3"/>
          <c:y val="0.15893234092099273"/>
          <c:w val="0.98765570212055431"/>
          <c:h val="0.83262371255948597"/>
        </c:manualLayout>
      </c:layout>
      <c:areaChart>
        <c:grouping val="standard"/>
        <c:varyColors val="0"/>
        <c:ser>
          <c:idx val="0"/>
          <c:order val="0"/>
          <c:tx>
            <c:strRef>
              <c:f>'Pivot Report'!$F$7</c:f>
              <c:strCache>
                <c:ptCount val="1"/>
                <c:pt idx="0">
                  <c:v>Total</c:v>
                </c:pt>
              </c:strCache>
            </c:strRef>
          </c:tx>
          <c:spPr>
            <a:solidFill>
              <a:schemeClr val="accent1"/>
            </a:solidFill>
            <a:ln w="25400">
              <a:noFill/>
            </a:ln>
            <a:effectLst/>
          </c:spPr>
          <c:cat>
            <c:strRef>
              <c:f>'Pivot Report'!$E$8:$E$39</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Report'!$F$8:$F$39</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2D46-4BFC-B6E2-4A555033D712}"/>
            </c:ext>
          </c:extLst>
        </c:ser>
        <c:dLbls>
          <c:showLegendKey val="0"/>
          <c:showVal val="0"/>
          <c:showCatName val="0"/>
          <c:showSerName val="0"/>
          <c:showPercent val="0"/>
          <c:showBubbleSize val="0"/>
        </c:dLbls>
        <c:axId val="206353871"/>
        <c:axId val="206350511"/>
      </c:areaChart>
      <c:catAx>
        <c:axId val="206353871"/>
        <c:scaling>
          <c:orientation val="minMax"/>
        </c:scaling>
        <c:delete val="1"/>
        <c:axPos val="b"/>
        <c:numFmt formatCode="General" sourceLinked="1"/>
        <c:majorTickMark val="out"/>
        <c:minorTickMark val="none"/>
        <c:tickLblPos val="nextTo"/>
        <c:crossAx val="206350511"/>
        <c:crosses val="autoZero"/>
        <c:auto val="1"/>
        <c:lblAlgn val="ctr"/>
        <c:lblOffset val="100"/>
        <c:noMultiLvlLbl val="0"/>
      </c:catAx>
      <c:valAx>
        <c:axId val="206350511"/>
        <c:scaling>
          <c:orientation val="minMax"/>
        </c:scaling>
        <c:delete val="1"/>
        <c:axPos val="l"/>
        <c:numFmt formatCode="General" sourceLinked="1"/>
        <c:majorTickMark val="none"/>
        <c:minorTickMark val="none"/>
        <c:tickLblPos val="nextTo"/>
        <c:crossAx val="2063538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68799987961506914"/>
          <c:w val="1"/>
          <c:h val="0.3120001203849308"/>
        </c:manualLayout>
      </c:layout>
      <c:areaChart>
        <c:grouping val="standard"/>
        <c:varyColors val="0"/>
        <c:ser>
          <c:idx val="0"/>
          <c:order val="0"/>
          <c:tx>
            <c:strRef>
              <c:f>'Pivot Report'!$K$7</c:f>
              <c:strCache>
                <c:ptCount val="1"/>
                <c:pt idx="0">
                  <c:v>Total</c:v>
                </c:pt>
              </c:strCache>
            </c:strRef>
          </c:tx>
          <c:spPr>
            <a:solidFill>
              <a:schemeClr val="accent1"/>
            </a:solidFill>
            <a:ln w="25400">
              <a:noFill/>
            </a:ln>
            <a:effectLst/>
          </c:spPr>
          <c:cat>
            <c:strRef>
              <c:f>'Pivot Report'!$J$8:$J$39</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Report'!$K$8:$K$39</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8785-4156-915B-35E3301A2620}"/>
            </c:ext>
          </c:extLst>
        </c:ser>
        <c:dLbls>
          <c:showLegendKey val="0"/>
          <c:showVal val="0"/>
          <c:showCatName val="0"/>
          <c:showSerName val="0"/>
          <c:showPercent val="0"/>
          <c:showBubbleSize val="0"/>
        </c:dLbls>
        <c:axId val="203821535"/>
        <c:axId val="203822975"/>
      </c:areaChart>
      <c:catAx>
        <c:axId val="203821535"/>
        <c:scaling>
          <c:orientation val="minMax"/>
        </c:scaling>
        <c:delete val="1"/>
        <c:axPos val="b"/>
        <c:numFmt formatCode="General" sourceLinked="1"/>
        <c:majorTickMark val="out"/>
        <c:minorTickMark val="none"/>
        <c:tickLblPos val="nextTo"/>
        <c:crossAx val="203822975"/>
        <c:crosses val="autoZero"/>
        <c:auto val="1"/>
        <c:lblAlgn val="ctr"/>
        <c:lblOffset val="100"/>
        <c:noMultiLvlLbl val="0"/>
      </c:catAx>
      <c:valAx>
        <c:axId val="20382297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38215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151253500206698E-2"/>
          <c:y val="1.1037187169545309E-2"/>
          <c:w val="0.98584874649979326"/>
          <c:h val="0.72795591734226295"/>
        </c:manualLayout>
      </c:layout>
      <c:areaChart>
        <c:grouping val="standard"/>
        <c:varyColors val="0"/>
        <c:ser>
          <c:idx val="0"/>
          <c:order val="0"/>
          <c:tx>
            <c:strRef>
              <c:f>'Pivot Report'!$Q$6</c:f>
              <c:strCache>
                <c:ptCount val="1"/>
                <c:pt idx="0">
                  <c:v>Total</c:v>
                </c:pt>
              </c:strCache>
            </c:strRef>
          </c:tx>
          <c:spPr>
            <a:solidFill>
              <a:schemeClr val="accent1"/>
            </a:solidFill>
            <a:ln w="25400">
              <a:noFill/>
            </a:ln>
            <a:effectLst/>
          </c:spPr>
          <c:cat>
            <c:strRef>
              <c:f>'Pivot Report'!$P$7:$P$38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Report'!$Q$7:$Q$38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FE25-4F2D-AD19-A5785013F1CA}"/>
            </c:ext>
          </c:extLst>
        </c:ser>
        <c:dLbls>
          <c:showLegendKey val="0"/>
          <c:showVal val="0"/>
          <c:showCatName val="0"/>
          <c:showSerName val="0"/>
          <c:showPercent val="0"/>
          <c:showBubbleSize val="0"/>
        </c:dLbls>
        <c:axId val="1966714431"/>
        <c:axId val="1966712031"/>
      </c:areaChart>
      <c:catAx>
        <c:axId val="1966714431"/>
        <c:scaling>
          <c:orientation val="minMax"/>
        </c:scaling>
        <c:delete val="1"/>
        <c:axPos val="b"/>
        <c:numFmt formatCode="General" sourceLinked="1"/>
        <c:majorTickMark val="out"/>
        <c:minorTickMark val="none"/>
        <c:tickLblPos val="nextTo"/>
        <c:crossAx val="1966712031"/>
        <c:crosses val="autoZero"/>
        <c:auto val="1"/>
        <c:lblAlgn val="ctr"/>
        <c:lblOffset val="100"/>
        <c:noMultiLvlLbl val="0"/>
      </c:catAx>
      <c:valAx>
        <c:axId val="196671203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667144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550407591173495"/>
          <c:w val="1"/>
          <c:h val="0.44832823137332095"/>
        </c:manualLayout>
      </c:layout>
      <c:barChart>
        <c:barDir val="col"/>
        <c:grouping val="clustered"/>
        <c:varyColors val="0"/>
        <c:ser>
          <c:idx val="0"/>
          <c:order val="0"/>
          <c:tx>
            <c:strRef>
              <c:f>'Pivot Report'!$B$36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Report'!$A$37:$A$45</c:f>
              <c:strCache>
                <c:ptCount val="8"/>
                <c:pt idx="0">
                  <c:v>0-09</c:v>
                </c:pt>
                <c:pt idx="1">
                  <c:v>10-19</c:v>
                </c:pt>
                <c:pt idx="2">
                  <c:v>20-29</c:v>
                </c:pt>
                <c:pt idx="3">
                  <c:v>30-39</c:v>
                </c:pt>
                <c:pt idx="4">
                  <c:v>40-49</c:v>
                </c:pt>
                <c:pt idx="5">
                  <c:v>50-59</c:v>
                </c:pt>
                <c:pt idx="6">
                  <c:v>60-69</c:v>
                </c:pt>
                <c:pt idx="7">
                  <c:v>70-79</c:v>
                </c:pt>
              </c:strCache>
            </c:strRef>
          </c:cat>
          <c:val>
            <c:numRef>
              <c:f>'Pivot Report'!$B$37:$B$45</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8F40-463E-A331-9351C57908AD}"/>
            </c:ext>
          </c:extLst>
        </c:ser>
        <c:dLbls>
          <c:showLegendKey val="0"/>
          <c:showVal val="0"/>
          <c:showCatName val="0"/>
          <c:showSerName val="0"/>
          <c:showPercent val="0"/>
          <c:showBubbleSize val="0"/>
        </c:dLbls>
        <c:gapWidth val="219"/>
        <c:overlap val="-27"/>
        <c:axId val="2081244015"/>
        <c:axId val="2081238255"/>
      </c:barChart>
      <c:catAx>
        <c:axId val="208124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1238255"/>
        <c:crosses val="autoZero"/>
        <c:auto val="1"/>
        <c:lblAlgn val="ctr"/>
        <c:lblOffset val="100"/>
        <c:noMultiLvlLbl val="0"/>
      </c:catAx>
      <c:valAx>
        <c:axId val="2081238255"/>
        <c:scaling>
          <c:orientation val="minMax"/>
        </c:scaling>
        <c:delete val="1"/>
        <c:axPos val="l"/>
        <c:numFmt formatCode="0" sourceLinked="1"/>
        <c:majorTickMark val="none"/>
        <c:minorTickMark val="none"/>
        <c:tickLblPos val="nextTo"/>
        <c:crossAx val="20812440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8"/>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4010477726271443"/>
              <c:y val="-8.8204631806160852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0831859070831446"/>
                  <c:h val="0.34626630313249013"/>
                </c:manualLayout>
              </c15:layout>
            </c:ext>
          </c:extLst>
        </c:dLbl>
      </c:pivotFmt>
      <c:pivotFmt>
        <c:idx val="6"/>
        <c:spPr>
          <a:solidFill>
            <a:schemeClr val="accent1"/>
          </a:solidFill>
          <a:ln>
            <a:noFill/>
          </a:ln>
          <a:effectLst/>
        </c:spPr>
      </c:pivotFmt>
    </c:pivotFmts>
    <c:plotArea>
      <c:layout>
        <c:manualLayout>
          <c:layoutTarget val="inner"/>
          <c:xMode val="edge"/>
          <c:yMode val="edge"/>
          <c:x val="0.1747973182216411"/>
          <c:y val="0.17646369955280899"/>
          <c:w val="0.58521528073709206"/>
          <c:h val="0.80411316813160272"/>
        </c:manualLayout>
      </c:layout>
      <c:pieChart>
        <c:varyColors val="1"/>
        <c:ser>
          <c:idx val="0"/>
          <c:order val="0"/>
          <c:tx>
            <c:strRef>
              <c:f>'Pivot Report'!$B$52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layout>
                <c:manualLayout>
                  <c:x val="-0.24010477726271443"/>
                  <c:y val="-8.8204631806160852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0831859070831446"/>
                      <c:h val="0.3462663031324901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Report'!$A$53:$A$55</c:f>
              <c:strCache>
                <c:ptCount val="2"/>
                <c:pt idx="0">
                  <c:v>Delay</c:v>
                </c:pt>
                <c:pt idx="1">
                  <c:v>OnTime</c:v>
                </c:pt>
              </c:strCache>
            </c:strRef>
          </c:cat>
          <c:val>
            <c:numRef>
              <c:f>'Pivot Report'!$B$53:$B$55</c:f>
              <c:numCache>
                <c:formatCode>0</c:formatCode>
                <c:ptCount val="2"/>
                <c:pt idx="0">
                  <c:v>312</c:v>
                </c:pt>
                <c:pt idx="1">
                  <c:v>194</c:v>
                </c:pt>
              </c:numCache>
            </c:numRef>
          </c:val>
          <c:extLst>
            <c:ext xmlns:c16="http://schemas.microsoft.com/office/drawing/2014/chart" uri="{C3380CC4-5D6E-409C-BE32-E72D297353CC}">
              <c16:uniqueId val="{00000004-9914-4804-9ACF-63ABA2B8E4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9730002070761344E-2"/>
          <c:y val="3.0031959997332644E-2"/>
          <c:w val="0.71698596919509627"/>
          <c:h val="0.1151603772992851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6.8736899867761755E-2"/>
          <c:y val="0.14594150107932044"/>
          <c:w val="0.81944431950279228"/>
          <c:h val="0.77687512792716307"/>
        </c:manualLayout>
      </c:layout>
      <c:doughnutChart>
        <c:varyColors val="1"/>
        <c:ser>
          <c:idx val="0"/>
          <c:order val="0"/>
          <c:tx>
            <c:strRef>
              <c:f>'Pivot Report'!$B$60</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0.00</c:formatCode>
                <c:ptCount val="2"/>
                <c:pt idx="0">
                  <c:v>231</c:v>
                </c:pt>
                <c:pt idx="1">
                  <c:v>275</c:v>
                </c:pt>
              </c:numCache>
            </c:numRef>
          </c:val>
          <c:extLst>
            <c:ext xmlns:c16="http://schemas.microsoft.com/office/drawing/2014/chart" uri="{C3380CC4-5D6E-409C-BE32-E72D297353CC}">
              <c16:uniqueId val="{00000004-E15F-4CC1-9497-916514E6B708}"/>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4.6128458010109272E-2"/>
          <c:y val="3.3095238715696265E-2"/>
          <c:w val="0.90507999455764887"/>
          <c:h val="0.1060022949534634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94737384904786"/>
          <c:y val="7.9052148828292229E-2"/>
          <c:w val="0.62105262615095214"/>
          <c:h val="0.81667302607356829"/>
        </c:manualLayout>
      </c:layout>
      <c:barChart>
        <c:barDir val="bar"/>
        <c:grouping val="clustered"/>
        <c:varyColors val="0"/>
        <c:ser>
          <c:idx val="0"/>
          <c:order val="0"/>
          <c:tx>
            <c:strRef>
              <c:f>'Pivot Report'!$B$70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Report'!$A$71:$A$79</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Report'!$B$71:$B$79</c:f>
              <c:numCache>
                <c:formatCode>0.00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C13B-41CE-9F23-E64224703DE6}"/>
            </c:ext>
          </c:extLst>
        </c:ser>
        <c:dLbls>
          <c:showLegendKey val="0"/>
          <c:showVal val="0"/>
          <c:showCatName val="0"/>
          <c:showSerName val="0"/>
          <c:showPercent val="0"/>
          <c:showBubbleSize val="0"/>
        </c:dLbls>
        <c:gapWidth val="100"/>
        <c:overlap val="-2"/>
        <c:axId val="1988086431"/>
        <c:axId val="1988091231"/>
      </c:barChart>
      <c:catAx>
        <c:axId val="1988086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88091231"/>
        <c:crosses val="autoZero"/>
        <c:auto val="1"/>
        <c:lblAlgn val="ctr"/>
        <c:lblOffset val="100"/>
        <c:noMultiLvlLbl val="0"/>
      </c:catAx>
      <c:valAx>
        <c:axId val="1988091231"/>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8808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929027309776E-2"/>
          <c:y val="0.18751853219003589"/>
          <c:w val="0.94700406632410028"/>
          <c:h val="0.69681421819876188"/>
        </c:manualLayout>
      </c:layout>
      <c:areaChart>
        <c:grouping val="standard"/>
        <c:varyColors val="0"/>
        <c:ser>
          <c:idx val="0"/>
          <c:order val="0"/>
          <c:tx>
            <c:strRef>
              <c:f>'Pivot Report'!$Q$6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Report'!$P$7:$P$38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Report'!$Q$7:$Q$38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EE88-4676-A25C-5D1ADA52345B}"/>
            </c:ext>
          </c:extLst>
        </c:ser>
        <c:dLbls>
          <c:showLegendKey val="0"/>
          <c:showVal val="0"/>
          <c:showCatName val="0"/>
          <c:showSerName val="0"/>
          <c:showPercent val="0"/>
          <c:showBubbleSize val="0"/>
        </c:dLbls>
        <c:axId val="1966714431"/>
        <c:axId val="1966712031"/>
      </c:areaChart>
      <c:catAx>
        <c:axId val="196671443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712031"/>
        <c:crosses val="autoZero"/>
        <c:auto val="1"/>
        <c:lblAlgn val="ctr"/>
        <c:lblOffset val="100"/>
        <c:noMultiLvlLbl val="0"/>
      </c:catAx>
      <c:valAx>
        <c:axId val="196671203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7144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4375843748009E-2"/>
          <c:y val="0.26991469816272962"/>
          <c:w val="0.87913658143725415"/>
          <c:h val="0.48480872703412065"/>
        </c:manualLayout>
      </c:layout>
      <c:areaChart>
        <c:grouping val="standard"/>
        <c:varyColors val="0"/>
        <c:ser>
          <c:idx val="0"/>
          <c:order val="0"/>
          <c:tx>
            <c:strRef>
              <c:f>'Pivot Report'!$K$7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Report'!$J$8:$J$39</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Report'!$K$8:$K$39</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57A2-46C2-910C-DB055ED4278A}"/>
            </c:ext>
          </c:extLst>
        </c:ser>
        <c:dLbls>
          <c:showLegendKey val="0"/>
          <c:showVal val="0"/>
          <c:showCatName val="0"/>
          <c:showSerName val="0"/>
          <c:showPercent val="0"/>
          <c:showBubbleSize val="0"/>
        </c:dLbls>
        <c:axId val="203821535"/>
        <c:axId val="203822975"/>
      </c:areaChart>
      <c:catAx>
        <c:axId val="2038215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22975"/>
        <c:crosses val="autoZero"/>
        <c:auto val="1"/>
        <c:lblAlgn val="ctr"/>
        <c:lblOffset val="100"/>
        <c:noMultiLvlLbl val="0"/>
      </c:catAx>
      <c:valAx>
        <c:axId val="2038229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215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29514165588582E-2"/>
          <c:y val="0.11967082670240389"/>
          <c:w val="0.87759620679669625"/>
          <c:h val="0.47717145489571988"/>
        </c:manualLayout>
      </c:layout>
      <c:areaChart>
        <c:grouping val="standard"/>
        <c:varyColors val="0"/>
        <c:ser>
          <c:idx val="0"/>
          <c:order val="0"/>
          <c:tx>
            <c:strRef>
              <c:f>'Pivot Report'!$F$7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Report'!$E$8:$E$39</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Report'!$F$8:$F$39</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BB5D-4593-817F-1B787354393A}"/>
            </c:ext>
          </c:extLst>
        </c:ser>
        <c:dLbls>
          <c:showLegendKey val="0"/>
          <c:showVal val="0"/>
          <c:showCatName val="0"/>
          <c:showSerName val="0"/>
          <c:showPercent val="0"/>
          <c:showBubbleSize val="0"/>
        </c:dLbls>
        <c:axId val="206353871"/>
        <c:axId val="206350511"/>
      </c:areaChart>
      <c:catAx>
        <c:axId val="2063538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50511"/>
        <c:crosses val="autoZero"/>
        <c:auto val="1"/>
        <c:lblAlgn val="ctr"/>
        <c:lblOffset val="100"/>
        <c:noMultiLvlLbl val="0"/>
      </c:catAx>
      <c:valAx>
        <c:axId val="206350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538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ica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265816</xdr:colOff>
      <xdr:row>27</xdr:row>
      <xdr:rowOff>177208</xdr:rowOff>
    </xdr:from>
    <xdr:to>
      <xdr:col>3</xdr:col>
      <xdr:colOff>1351221</xdr:colOff>
      <xdr:row>29</xdr:row>
      <xdr:rowOff>177209</xdr:rowOff>
    </xdr:to>
    <xdr:graphicFrame macro="">
      <xdr:nvGraphicFramePr>
        <xdr:cNvPr id="7" name="Chart 6">
          <a:extLst>
            <a:ext uri="{FF2B5EF4-FFF2-40B4-BE49-F238E27FC236}">
              <a16:creationId xmlns:a16="http://schemas.microsoft.com/office/drawing/2014/main" id="{734316B9-CED9-2A6E-2086-6B7D44054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110932</xdr:colOff>
      <xdr:row>0</xdr:row>
      <xdr:rowOff>66453</xdr:rowOff>
    </xdr:from>
    <xdr:to>
      <xdr:col>5</xdr:col>
      <xdr:colOff>381930</xdr:colOff>
      <xdr:row>2</xdr:row>
      <xdr:rowOff>66453</xdr:rowOff>
    </xdr:to>
    <xdr:sp macro="" textlink="">
      <xdr:nvSpPr>
        <xdr:cNvPr id="2" name="Rectangle: Rounded Corners 1">
          <a:extLst>
            <a:ext uri="{FF2B5EF4-FFF2-40B4-BE49-F238E27FC236}">
              <a16:creationId xmlns:a16="http://schemas.microsoft.com/office/drawing/2014/main" id="{C593CE5E-6701-246D-236F-7443849883C2}"/>
            </a:ext>
          </a:extLst>
        </xdr:cNvPr>
        <xdr:cNvSpPr/>
      </xdr:nvSpPr>
      <xdr:spPr>
        <a:xfrm>
          <a:off x="110932" y="66453"/>
          <a:ext cx="3320160" cy="383323"/>
        </a:xfrm>
        <a:prstGeom prst="roundRect">
          <a:avLst>
            <a:gd name="adj" fmla="val 19608"/>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418328</xdr:colOff>
      <xdr:row>0</xdr:row>
      <xdr:rowOff>69696</xdr:rowOff>
    </xdr:from>
    <xdr:to>
      <xdr:col>7</xdr:col>
      <xdr:colOff>191662</xdr:colOff>
      <xdr:row>2</xdr:row>
      <xdr:rowOff>69696</xdr:rowOff>
    </xdr:to>
    <xdr:sp macro="" textlink="">
      <xdr:nvSpPr>
        <xdr:cNvPr id="4" name="Rectangle: Rounded Corners 3">
          <a:extLst>
            <a:ext uri="{FF2B5EF4-FFF2-40B4-BE49-F238E27FC236}">
              <a16:creationId xmlns:a16="http://schemas.microsoft.com/office/drawing/2014/main" id="{064A411D-18E1-4301-B387-8062D7FDEFC2}"/>
            </a:ext>
          </a:extLst>
        </xdr:cNvPr>
        <xdr:cNvSpPr/>
      </xdr:nvSpPr>
      <xdr:spPr>
        <a:xfrm>
          <a:off x="3467699" y="69696"/>
          <a:ext cx="993082" cy="383741"/>
        </a:xfrm>
        <a:prstGeom prst="roundRect">
          <a:avLst>
            <a:gd name="adj" fmla="val 5322"/>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218818</xdr:colOff>
      <xdr:row>0</xdr:row>
      <xdr:rowOff>69696</xdr:rowOff>
    </xdr:from>
    <xdr:to>
      <xdr:col>9</xdr:col>
      <xdr:colOff>40654</xdr:colOff>
      <xdr:row>6</xdr:row>
      <xdr:rowOff>6436</xdr:rowOff>
    </xdr:to>
    <xdr:sp macro="" textlink="">
      <xdr:nvSpPr>
        <xdr:cNvPr id="5" name="Rectangle: Rounded Corners 4">
          <a:extLst>
            <a:ext uri="{FF2B5EF4-FFF2-40B4-BE49-F238E27FC236}">
              <a16:creationId xmlns:a16="http://schemas.microsoft.com/office/drawing/2014/main" id="{3D8C1E34-9D17-E24A-2C4D-D5BAF420E0F6}"/>
            </a:ext>
          </a:extLst>
        </xdr:cNvPr>
        <xdr:cNvSpPr/>
      </xdr:nvSpPr>
      <xdr:spPr>
        <a:xfrm>
          <a:off x="4478610" y="69696"/>
          <a:ext cx="1038919" cy="1087678"/>
        </a:xfrm>
        <a:prstGeom prst="roundRect">
          <a:avLst>
            <a:gd name="adj" fmla="val 10517"/>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98734</xdr:colOff>
      <xdr:row>0</xdr:row>
      <xdr:rowOff>69696</xdr:rowOff>
    </xdr:from>
    <xdr:to>
      <xdr:col>10</xdr:col>
      <xdr:colOff>487865</xdr:colOff>
      <xdr:row>6</xdr:row>
      <xdr:rowOff>6436</xdr:rowOff>
    </xdr:to>
    <xdr:sp macro="" textlink="">
      <xdr:nvSpPr>
        <xdr:cNvPr id="6" name="Rectangle: Rounded Corners 5">
          <a:extLst>
            <a:ext uri="{FF2B5EF4-FFF2-40B4-BE49-F238E27FC236}">
              <a16:creationId xmlns:a16="http://schemas.microsoft.com/office/drawing/2014/main" id="{DC81E0E9-450F-7427-858F-B86CE5A8EA02}"/>
            </a:ext>
          </a:extLst>
        </xdr:cNvPr>
        <xdr:cNvSpPr/>
      </xdr:nvSpPr>
      <xdr:spPr>
        <a:xfrm>
          <a:off x="5601352" y="69696"/>
          <a:ext cx="1000533" cy="1095186"/>
        </a:xfrm>
        <a:prstGeom prst="roundRect">
          <a:avLst>
            <a:gd name="adj" fmla="val 10517"/>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110932</xdr:colOff>
      <xdr:row>2</xdr:row>
      <xdr:rowOff>101301</xdr:rowOff>
    </xdr:from>
    <xdr:to>
      <xdr:col>1</xdr:col>
      <xdr:colOff>112448</xdr:colOff>
      <xdr:row>14</xdr:row>
      <xdr:rowOff>127775</xdr:rowOff>
    </xdr:to>
    <xdr:sp macro="" textlink="">
      <xdr:nvSpPr>
        <xdr:cNvPr id="7" name="Rectangle: Rounded Corners 6">
          <a:extLst>
            <a:ext uri="{FF2B5EF4-FFF2-40B4-BE49-F238E27FC236}">
              <a16:creationId xmlns:a16="http://schemas.microsoft.com/office/drawing/2014/main" id="{B19441F2-F112-51CC-0374-E5F9AE5AA8D6}"/>
            </a:ext>
          </a:extLst>
        </xdr:cNvPr>
        <xdr:cNvSpPr/>
      </xdr:nvSpPr>
      <xdr:spPr>
        <a:xfrm>
          <a:off x="110932" y="484947"/>
          <a:ext cx="610058" cy="2328349"/>
        </a:xfrm>
        <a:prstGeom prst="roundRect">
          <a:avLst>
            <a:gd name="adj" fmla="val 9021"/>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155385</xdr:colOff>
      <xdr:row>2</xdr:row>
      <xdr:rowOff>121676</xdr:rowOff>
    </xdr:from>
    <xdr:to>
      <xdr:col>7</xdr:col>
      <xdr:colOff>184426</xdr:colOff>
      <xdr:row>6</xdr:row>
      <xdr:rowOff>37797</xdr:rowOff>
    </xdr:to>
    <xdr:grpSp>
      <xdr:nvGrpSpPr>
        <xdr:cNvPr id="11" name="Group 10">
          <a:extLst>
            <a:ext uri="{FF2B5EF4-FFF2-40B4-BE49-F238E27FC236}">
              <a16:creationId xmlns:a16="http://schemas.microsoft.com/office/drawing/2014/main" id="{140AA268-8174-7F75-F46B-DA889FF1FF32}"/>
            </a:ext>
          </a:extLst>
        </xdr:cNvPr>
        <xdr:cNvGrpSpPr/>
      </xdr:nvGrpSpPr>
      <xdr:grpSpPr>
        <a:xfrm>
          <a:off x="764360" y="506840"/>
          <a:ext cx="3682894" cy="686449"/>
          <a:chOff x="563369" y="484625"/>
          <a:chExt cx="3351176" cy="682768"/>
        </a:xfrm>
        <a:solidFill>
          <a:schemeClr val="bg1">
            <a:lumMod val="75000"/>
          </a:schemeClr>
        </a:solidFill>
      </xdr:grpSpPr>
      <xdr:sp macro="" textlink="">
        <xdr:nvSpPr>
          <xdr:cNvPr id="8" name="Rectangle: Rounded Corners 7">
            <a:extLst>
              <a:ext uri="{FF2B5EF4-FFF2-40B4-BE49-F238E27FC236}">
                <a16:creationId xmlns:a16="http://schemas.microsoft.com/office/drawing/2014/main" id="{6847DA1F-A18F-589F-09D7-DBF1864F1468}"/>
              </a:ext>
            </a:extLst>
          </xdr:cNvPr>
          <xdr:cNvSpPr/>
        </xdr:nvSpPr>
        <xdr:spPr>
          <a:xfrm>
            <a:off x="563369" y="484625"/>
            <a:ext cx="1083613" cy="682768"/>
          </a:xfrm>
          <a:prstGeom prst="roundRect">
            <a:avLst>
              <a:gd name="adj" fmla="val 293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2188A6E-0FCF-2B30-9292-5E6CF700CCB7}"/>
              </a:ext>
            </a:extLst>
          </xdr:cNvPr>
          <xdr:cNvSpPr/>
        </xdr:nvSpPr>
        <xdr:spPr>
          <a:xfrm>
            <a:off x="1667050" y="484625"/>
            <a:ext cx="1097524" cy="682768"/>
          </a:xfrm>
          <a:prstGeom prst="roundRect">
            <a:avLst>
              <a:gd name="adj" fmla="val 354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2F634968-DA59-D5CF-8ACF-C9C225229648}"/>
              </a:ext>
            </a:extLst>
          </xdr:cNvPr>
          <xdr:cNvSpPr/>
        </xdr:nvSpPr>
        <xdr:spPr>
          <a:xfrm>
            <a:off x="2782500" y="484625"/>
            <a:ext cx="1132045" cy="682768"/>
          </a:xfrm>
          <a:prstGeom prst="roundRect">
            <a:avLst>
              <a:gd name="adj" fmla="val 415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139391</xdr:colOff>
      <xdr:row>8</xdr:row>
      <xdr:rowOff>52271</xdr:rowOff>
    </xdr:from>
    <xdr:to>
      <xdr:col>7</xdr:col>
      <xdr:colOff>209086</xdr:colOff>
      <xdr:row>14</xdr:row>
      <xdr:rowOff>98735</xdr:rowOff>
    </xdr:to>
    <xdr:sp macro="" textlink="">
      <xdr:nvSpPr>
        <xdr:cNvPr id="12" name="Rectangle: Rounded Corners 11">
          <a:extLst>
            <a:ext uri="{FF2B5EF4-FFF2-40B4-BE49-F238E27FC236}">
              <a16:creationId xmlns:a16="http://schemas.microsoft.com/office/drawing/2014/main" id="{036EB91B-E54F-FA57-2585-C60FD45C053C}"/>
            </a:ext>
          </a:extLst>
        </xdr:cNvPr>
        <xdr:cNvSpPr/>
      </xdr:nvSpPr>
      <xdr:spPr>
        <a:xfrm>
          <a:off x="747933" y="1586854"/>
          <a:ext cx="3720945" cy="1197402"/>
        </a:xfrm>
        <a:prstGeom prst="roundRect">
          <a:avLst>
            <a:gd name="adj" fmla="val 3808"/>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139391</xdr:colOff>
      <xdr:row>6</xdr:row>
      <xdr:rowOff>51486</xdr:rowOff>
    </xdr:from>
    <xdr:to>
      <xdr:col>7</xdr:col>
      <xdr:colOff>209086</xdr:colOff>
      <xdr:row>8</xdr:row>
      <xdr:rowOff>25743</xdr:rowOff>
    </xdr:to>
    <xdr:sp macro="" textlink="">
      <xdr:nvSpPr>
        <xdr:cNvPr id="18" name="Rectangle: Rounded Corners 17">
          <a:extLst>
            <a:ext uri="{FF2B5EF4-FFF2-40B4-BE49-F238E27FC236}">
              <a16:creationId xmlns:a16="http://schemas.microsoft.com/office/drawing/2014/main" id="{6268BEC6-0ED5-2E90-F09D-2CCCD53F4CFF}"/>
            </a:ext>
          </a:extLst>
        </xdr:cNvPr>
        <xdr:cNvSpPr/>
      </xdr:nvSpPr>
      <xdr:spPr>
        <a:xfrm>
          <a:off x="749169" y="1199827"/>
          <a:ext cx="3728363" cy="357037"/>
        </a:xfrm>
        <a:prstGeom prst="roundRect">
          <a:avLst>
            <a:gd name="adj" fmla="val 10985"/>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244562</xdr:colOff>
      <xdr:row>6</xdr:row>
      <xdr:rowOff>43952</xdr:rowOff>
    </xdr:from>
    <xdr:to>
      <xdr:col>10</xdr:col>
      <xdr:colOff>487866</xdr:colOff>
      <xdr:row>14</xdr:row>
      <xdr:rowOff>83664</xdr:rowOff>
    </xdr:to>
    <xdr:sp macro="" textlink="">
      <xdr:nvSpPr>
        <xdr:cNvPr id="19" name="Rectangle: Rounded Corners 18">
          <a:extLst>
            <a:ext uri="{FF2B5EF4-FFF2-40B4-BE49-F238E27FC236}">
              <a16:creationId xmlns:a16="http://schemas.microsoft.com/office/drawing/2014/main" id="{5C1CC7D0-955E-C869-D080-0B4BBF5CA4E0}"/>
            </a:ext>
          </a:extLst>
        </xdr:cNvPr>
        <xdr:cNvSpPr/>
      </xdr:nvSpPr>
      <xdr:spPr>
        <a:xfrm>
          <a:off x="4504354" y="1194890"/>
          <a:ext cx="2068929" cy="1574295"/>
        </a:xfrm>
        <a:prstGeom prst="roundRect">
          <a:avLst>
            <a:gd name="adj" fmla="val 3205"/>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19306</xdr:colOff>
      <xdr:row>0</xdr:row>
      <xdr:rowOff>64358</xdr:rowOff>
    </xdr:from>
    <xdr:to>
      <xdr:col>5</xdr:col>
      <xdr:colOff>96537</xdr:colOff>
      <xdr:row>1</xdr:row>
      <xdr:rowOff>83665</xdr:rowOff>
    </xdr:to>
    <xdr:sp macro="" textlink="">
      <xdr:nvSpPr>
        <xdr:cNvPr id="20" name="TextBox 19">
          <a:extLst>
            <a:ext uri="{FF2B5EF4-FFF2-40B4-BE49-F238E27FC236}">
              <a16:creationId xmlns:a16="http://schemas.microsoft.com/office/drawing/2014/main" id="{D48E4A5B-525D-D953-D508-0B9A3A0F9784}"/>
            </a:ext>
          </a:extLst>
        </xdr:cNvPr>
        <xdr:cNvSpPr txBox="1"/>
      </xdr:nvSpPr>
      <xdr:spPr>
        <a:xfrm>
          <a:off x="630708" y="64358"/>
          <a:ext cx="2522839" cy="21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a:t>
          </a:r>
          <a:r>
            <a:rPr lang="en-IN" sz="1200"/>
            <a:t>Emergency</a:t>
          </a:r>
          <a:r>
            <a:rPr lang="en-IN" sz="1100"/>
            <a:t> Room Dashboard</a:t>
          </a:r>
        </a:p>
      </xdr:txBody>
    </xdr:sp>
    <xdr:clientData/>
  </xdr:twoCellAnchor>
  <xdr:twoCellAnchor editAs="oneCell">
    <xdr:from>
      <xdr:col>0</xdr:col>
      <xdr:colOff>140532</xdr:colOff>
      <xdr:row>0</xdr:row>
      <xdr:rowOff>98894</xdr:rowOff>
    </xdr:from>
    <xdr:to>
      <xdr:col>1</xdr:col>
      <xdr:colOff>270656</xdr:colOff>
      <xdr:row>2</xdr:row>
      <xdr:rowOff>41640</xdr:rowOff>
    </xdr:to>
    <xdr:pic>
      <xdr:nvPicPr>
        <xdr:cNvPr id="22" name="Picture 21">
          <a:extLst>
            <a:ext uri="{FF2B5EF4-FFF2-40B4-BE49-F238E27FC236}">
              <a16:creationId xmlns:a16="http://schemas.microsoft.com/office/drawing/2014/main" id="{DC546BE0-3EFA-FFF4-29DD-1F02316CB8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532" y="98894"/>
          <a:ext cx="739099" cy="327910"/>
        </a:xfrm>
        <a:prstGeom prst="rect">
          <a:avLst/>
        </a:prstGeom>
      </xdr:spPr>
    </xdr:pic>
    <xdr:clientData/>
  </xdr:twoCellAnchor>
  <xdr:twoCellAnchor editAs="absolute">
    <xdr:from>
      <xdr:col>2</xdr:col>
      <xdr:colOff>173767</xdr:colOff>
      <xdr:row>1</xdr:row>
      <xdr:rowOff>38614</xdr:rowOff>
    </xdr:from>
    <xdr:to>
      <xdr:col>4</xdr:col>
      <xdr:colOff>12871</xdr:colOff>
      <xdr:row>2</xdr:row>
      <xdr:rowOff>38614</xdr:rowOff>
    </xdr:to>
    <xdr:sp macro="" textlink="">
      <xdr:nvSpPr>
        <xdr:cNvPr id="23" name="TextBox 22">
          <a:extLst>
            <a:ext uri="{FF2B5EF4-FFF2-40B4-BE49-F238E27FC236}">
              <a16:creationId xmlns:a16="http://schemas.microsoft.com/office/drawing/2014/main" id="{97140532-B8B0-B50A-1836-7A8C66E22223}"/>
            </a:ext>
          </a:extLst>
        </xdr:cNvPr>
        <xdr:cNvSpPr txBox="1"/>
      </xdr:nvSpPr>
      <xdr:spPr>
        <a:xfrm>
          <a:off x="1396571" y="231688"/>
          <a:ext cx="1061908" cy="193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Monthly</a:t>
          </a:r>
          <a:r>
            <a:rPr lang="en-IN" sz="1000" baseline="0"/>
            <a:t> Report</a:t>
          </a:r>
          <a:endParaRPr lang="en-IN" sz="1000"/>
        </a:p>
      </xdr:txBody>
    </xdr:sp>
    <xdr:clientData/>
  </xdr:twoCellAnchor>
  <xdr:twoCellAnchor editAs="absolute">
    <xdr:from>
      <xdr:col>1</xdr:col>
      <xdr:colOff>167330</xdr:colOff>
      <xdr:row>3</xdr:row>
      <xdr:rowOff>154460</xdr:rowOff>
    </xdr:from>
    <xdr:to>
      <xdr:col>3</xdr:col>
      <xdr:colOff>141587</xdr:colOff>
      <xdr:row>4</xdr:row>
      <xdr:rowOff>115846</xdr:rowOff>
    </xdr:to>
    <xdr:sp macro="" textlink="">
      <xdr:nvSpPr>
        <xdr:cNvPr id="24" name="TextBox 23">
          <a:extLst>
            <a:ext uri="{FF2B5EF4-FFF2-40B4-BE49-F238E27FC236}">
              <a16:creationId xmlns:a16="http://schemas.microsoft.com/office/drawing/2014/main" id="{79FE9042-412B-2FAA-927F-146E56B3C076}"/>
            </a:ext>
          </a:extLst>
        </xdr:cNvPr>
        <xdr:cNvSpPr txBox="1"/>
      </xdr:nvSpPr>
      <xdr:spPr>
        <a:xfrm>
          <a:off x="778732" y="733683"/>
          <a:ext cx="1197061" cy="15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No</a:t>
          </a:r>
          <a:r>
            <a:rPr lang="en-IN" sz="1050" baseline="0"/>
            <a:t>. of Patient</a:t>
          </a:r>
          <a:endParaRPr lang="en-IN" sz="1050"/>
        </a:p>
      </xdr:txBody>
    </xdr:sp>
    <xdr:clientData/>
  </xdr:twoCellAnchor>
  <xdr:twoCellAnchor editAs="absolute">
    <xdr:from>
      <xdr:col>3</xdr:col>
      <xdr:colOff>148023</xdr:colOff>
      <xdr:row>3</xdr:row>
      <xdr:rowOff>167332</xdr:rowOff>
    </xdr:from>
    <xdr:to>
      <xdr:col>5</xdr:col>
      <xdr:colOff>122280</xdr:colOff>
      <xdr:row>4</xdr:row>
      <xdr:rowOff>128718</xdr:rowOff>
    </xdr:to>
    <xdr:sp macro="" textlink="">
      <xdr:nvSpPr>
        <xdr:cNvPr id="25" name="TextBox 24">
          <a:extLst>
            <a:ext uri="{FF2B5EF4-FFF2-40B4-BE49-F238E27FC236}">
              <a16:creationId xmlns:a16="http://schemas.microsoft.com/office/drawing/2014/main" id="{F2775F28-089A-CEC2-96A9-4F5161606860}"/>
            </a:ext>
          </a:extLst>
        </xdr:cNvPr>
        <xdr:cNvSpPr txBox="1"/>
      </xdr:nvSpPr>
      <xdr:spPr>
        <a:xfrm>
          <a:off x="1982229" y="746555"/>
          <a:ext cx="1197061" cy="15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Average</a:t>
          </a:r>
          <a:r>
            <a:rPr lang="en-IN" sz="1050" baseline="0"/>
            <a:t> Wait Time</a:t>
          </a:r>
          <a:endParaRPr lang="en-IN" sz="1050"/>
        </a:p>
      </xdr:txBody>
    </xdr:sp>
    <xdr:clientData/>
  </xdr:twoCellAnchor>
  <xdr:twoCellAnchor editAs="absolute">
    <xdr:from>
      <xdr:col>5</xdr:col>
      <xdr:colOff>154460</xdr:colOff>
      <xdr:row>3</xdr:row>
      <xdr:rowOff>171708</xdr:rowOff>
    </xdr:from>
    <xdr:to>
      <xdr:col>7</xdr:col>
      <xdr:colOff>160895</xdr:colOff>
      <xdr:row>4</xdr:row>
      <xdr:rowOff>128718</xdr:rowOff>
    </xdr:to>
    <xdr:sp macro="" textlink="">
      <xdr:nvSpPr>
        <xdr:cNvPr id="26" name="TextBox 25">
          <a:extLst>
            <a:ext uri="{FF2B5EF4-FFF2-40B4-BE49-F238E27FC236}">
              <a16:creationId xmlns:a16="http://schemas.microsoft.com/office/drawing/2014/main" id="{C6F8B496-EFD2-8E5C-1005-20ACDBD841CD}"/>
            </a:ext>
          </a:extLst>
        </xdr:cNvPr>
        <xdr:cNvSpPr txBox="1"/>
      </xdr:nvSpPr>
      <xdr:spPr>
        <a:xfrm>
          <a:off x="3211470" y="750931"/>
          <a:ext cx="1229239" cy="150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a:t>
          </a:r>
          <a:r>
            <a:rPr lang="en-IN" sz="900" baseline="0"/>
            <a:t> Satisfication Score</a:t>
          </a:r>
          <a:endParaRPr lang="en-IN" sz="900"/>
        </a:p>
      </xdr:txBody>
    </xdr:sp>
    <xdr:clientData/>
  </xdr:twoCellAnchor>
  <xdr:twoCellAnchor editAs="absolute">
    <xdr:from>
      <xdr:col>1</xdr:col>
      <xdr:colOff>156048</xdr:colOff>
      <xdr:row>2</xdr:row>
      <xdr:rowOff>158611</xdr:rowOff>
    </xdr:from>
    <xdr:to>
      <xdr:col>3</xdr:col>
      <xdr:colOff>127088</xdr:colOff>
      <xdr:row>3</xdr:row>
      <xdr:rowOff>139304</xdr:rowOff>
    </xdr:to>
    <xdr:sp macro="" textlink="'Pivot Report'!A7">
      <xdr:nvSpPr>
        <xdr:cNvPr id="27" name="TextBox 26">
          <a:extLst>
            <a:ext uri="{FF2B5EF4-FFF2-40B4-BE49-F238E27FC236}">
              <a16:creationId xmlns:a16="http://schemas.microsoft.com/office/drawing/2014/main" id="{03C43E27-7820-4B0D-FE57-31C8ED542D77}"/>
            </a:ext>
          </a:extLst>
        </xdr:cNvPr>
        <xdr:cNvSpPr txBox="1"/>
      </xdr:nvSpPr>
      <xdr:spPr>
        <a:xfrm>
          <a:off x="765023" y="543775"/>
          <a:ext cx="1188991" cy="173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F6A7E7C-C454-488D-9BE7-CD6AE439B94A}" type="TxLink">
            <a:rPr lang="en-US" sz="1100" b="0" i="0" u="none" strike="noStrike">
              <a:solidFill>
                <a:srgbClr val="000000"/>
              </a:solidFill>
              <a:latin typeface="Calibri"/>
              <a:ea typeface="Calibri"/>
              <a:cs typeface="Calibri"/>
            </a:rPr>
            <a:pPr algn="ctr"/>
            <a:t>506</a:t>
          </a:fld>
          <a:endParaRPr lang="en-IN" sz="1050"/>
        </a:p>
      </xdr:txBody>
    </xdr:sp>
    <xdr:clientData/>
  </xdr:twoCellAnchor>
  <xdr:twoCellAnchor editAs="absolute">
    <xdr:from>
      <xdr:col>3</xdr:col>
      <xdr:colOff>154458</xdr:colOff>
      <xdr:row>2</xdr:row>
      <xdr:rowOff>154459</xdr:rowOff>
    </xdr:from>
    <xdr:to>
      <xdr:col>5</xdr:col>
      <xdr:colOff>128715</xdr:colOff>
      <xdr:row>3</xdr:row>
      <xdr:rowOff>141589</xdr:rowOff>
    </xdr:to>
    <xdr:sp macro="" textlink="'Pivot Report'!A11">
      <xdr:nvSpPr>
        <xdr:cNvPr id="29" name="TextBox 28">
          <a:extLst>
            <a:ext uri="{FF2B5EF4-FFF2-40B4-BE49-F238E27FC236}">
              <a16:creationId xmlns:a16="http://schemas.microsoft.com/office/drawing/2014/main" id="{B283471C-5854-C6FC-6C26-169C3A73F2C8}"/>
            </a:ext>
          </a:extLst>
        </xdr:cNvPr>
        <xdr:cNvSpPr txBox="1"/>
      </xdr:nvSpPr>
      <xdr:spPr>
        <a:xfrm>
          <a:off x="1988664" y="540608"/>
          <a:ext cx="1197061" cy="180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8DCD250-9545-49F6-BF1D-66106D987430}" type="TxLink">
            <a:rPr lang="en-US" sz="1100" b="0" i="0" u="none" strike="noStrike">
              <a:solidFill>
                <a:srgbClr val="000000"/>
              </a:solidFill>
              <a:latin typeface="Calibri"/>
              <a:ea typeface="Calibri"/>
              <a:cs typeface="Calibri"/>
            </a:rPr>
            <a:pPr algn="ctr"/>
            <a:t>35.88</a:t>
          </a:fld>
          <a:endParaRPr lang="en-IN" sz="1050"/>
        </a:p>
      </xdr:txBody>
    </xdr:sp>
    <xdr:clientData/>
  </xdr:twoCellAnchor>
  <xdr:twoCellAnchor editAs="absolute">
    <xdr:from>
      <xdr:col>5</xdr:col>
      <xdr:colOff>148024</xdr:colOff>
      <xdr:row>2</xdr:row>
      <xdr:rowOff>165271</xdr:rowOff>
    </xdr:from>
    <xdr:to>
      <xdr:col>7</xdr:col>
      <xdr:colOff>160895</xdr:colOff>
      <xdr:row>3</xdr:row>
      <xdr:rowOff>141588</xdr:rowOff>
    </xdr:to>
    <xdr:sp macro="" textlink="'Pivot Report'!A17">
      <xdr:nvSpPr>
        <xdr:cNvPr id="30" name="TextBox 29">
          <a:extLst>
            <a:ext uri="{FF2B5EF4-FFF2-40B4-BE49-F238E27FC236}">
              <a16:creationId xmlns:a16="http://schemas.microsoft.com/office/drawing/2014/main" id="{3A372F9F-789A-CFEE-E44B-4A55D1706D84}"/>
            </a:ext>
          </a:extLst>
        </xdr:cNvPr>
        <xdr:cNvSpPr txBox="1"/>
      </xdr:nvSpPr>
      <xdr:spPr>
        <a:xfrm>
          <a:off x="3205034" y="551420"/>
          <a:ext cx="1235675" cy="169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42E8C30-C757-4C94-805D-4227AB7B5B4B}" type="TxLink">
            <a:rPr lang="en-US" sz="1100" b="0" i="0" u="none" strike="noStrike">
              <a:solidFill>
                <a:srgbClr val="000000"/>
              </a:solidFill>
              <a:latin typeface="Calibri"/>
              <a:ea typeface="Calibri"/>
              <a:cs typeface="Calibri"/>
            </a:rPr>
            <a:pPr algn="ctr"/>
            <a:t>5.33</a:t>
          </a:fld>
          <a:endParaRPr lang="en-IN" sz="1050"/>
        </a:p>
      </xdr:txBody>
    </xdr:sp>
    <xdr:clientData/>
  </xdr:twoCellAnchor>
  <xdr:twoCellAnchor editAs="oneCell">
    <xdr:from>
      <xdr:col>2</xdr:col>
      <xdr:colOff>567336</xdr:colOff>
      <xdr:row>2</xdr:row>
      <xdr:rowOff>112448</xdr:rowOff>
    </xdr:from>
    <xdr:to>
      <xdr:col>3</xdr:col>
      <xdr:colOff>119062</xdr:colOff>
      <xdr:row>3</xdr:row>
      <xdr:rowOff>88484</xdr:rowOff>
    </xdr:to>
    <xdr:pic>
      <xdr:nvPicPr>
        <xdr:cNvPr id="32" name="Graphic 31" descr="Male profile">
          <a:extLst>
            <a:ext uri="{FF2B5EF4-FFF2-40B4-BE49-F238E27FC236}">
              <a16:creationId xmlns:a16="http://schemas.microsoft.com/office/drawing/2014/main" id="{8EA5C0A1-C282-40C5-08E8-1691672B513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85287" y="497612"/>
          <a:ext cx="160701" cy="168618"/>
        </a:xfrm>
        <a:prstGeom prst="rect">
          <a:avLst/>
        </a:prstGeom>
      </xdr:spPr>
    </xdr:pic>
    <xdr:clientData/>
  </xdr:twoCellAnchor>
  <xdr:twoCellAnchor editAs="oneCell">
    <xdr:from>
      <xdr:col>6</xdr:col>
      <xdr:colOff>593361</xdr:colOff>
      <xdr:row>2</xdr:row>
      <xdr:rowOff>142268</xdr:rowOff>
    </xdr:from>
    <xdr:to>
      <xdr:col>7</xdr:col>
      <xdr:colOff>137929</xdr:colOff>
      <xdr:row>3</xdr:row>
      <xdr:rowOff>93689</xdr:rowOff>
    </xdr:to>
    <xdr:pic>
      <xdr:nvPicPr>
        <xdr:cNvPr id="34" name="Graphic 33" descr="Customer review RTL">
          <a:extLst>
            <a:ext uri="{FF2B5EF4-FFF2-40B4-BE49-F238E27FC236}">
              <a16:creationId xmlns:a16="http://schemas.microsoft.com/office/drawing/2014/main" id="{BC308821-698B-CAC6-0A9D-AD5C75DB64B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47213" y="527432"/>
          <a:ext cx="153544" cy="144003"/>
        </a:xfrm>
        <a:prstGeom prst="rect">
          <a:avLst/>
        </a:prstGeom>
      </xdr:spPr>
    </xdr:pic>
    <xdr:clientData/>
  </xdr:twoCellAnchor>
  <xdr:twoCellAnchor editAs="oneCell">
    <xdr:from>
      <xdr:col>4</xdr:col>
      <xdr:colOff>551721</xdr:colOff>
      <xdr:row>2</xdr:row>
      <xdr:rowOff>155931</xdr:rowOff>
    </xdr:from>
    <xdr:to>
      <xdr:col>5</xdr:col>
      <xdr:colOff>79888</xdr:colOff>
      <xdr:row>3</xdr:row>
      <xdr:rowOff>78075</xdr:rowOff>
    </xdr:to>
    <xdr:pic>
      <xdr:nvPicPr>
        <xdr:cNvPr id="36" name="Graphic 35" descr="Hourglass">
          <a:extLst>
            <a:ext uri="{FF2B5EF4-FFF2-40B4-BE49-F238E27FC236}">
              <a16:creationId xmlns:a16="http://schemas.microsoft.com/office/drawing/2014/main" id="{27B12F69-5795-22E1-3E1B-851AF6CF4C0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87623" y="541095"/>
          <a:ext cx="137142" cy="114726"/>
        </a:xfrm>
        <a:prstGeom prst="rect">
          <a:avLst/>
        </a:prstGeom>
      </xdr:spPr>
    </xdr:pic>
    <xdr:clientData/>
  </xdr:twoCellAnchor>
  <xdr:twoCellAnchor editAs="oneCell">
    <xdr:from>
      <xdr:col>0</xdr:col>
      <xdr:colOff>132290</xdr:colOff>
      <xdr:row>2</xdr:row>
      <xdr:rowOff>138907</xdr:rowOff>
    </xdr:from>
    <xdr:to>
      <xdr:col>1</xdr:col>
      <xdr:colOff>66146</xdr:colOff>
      <xdr:row>14</xdr:row>
      <xdr:rowOff>59532</xdr:rowOff>
    </xdr:to>
    <mc:AlternateContent xmlns:mc="http://schemas.openxmlformats.org/markup-compatibility/2006" xmlns:a14="http://schemas.microsoft.com/office/drawing/2010/main">
      <mc:Choice Requires="a14">
        <xdr:graphicFrame macro="">
          <xdr:nvGraphicFramePr>
            <xdr:cNvPr id="37" name="Date (Month)">
              <a:extLst>
                <a:ext uri="{FF2B5EF4-FFF2-40B4-BE49-F238E27FC236}">
                  <a16:creationId xmlns:a16="http://schemas.microsoft.com/office/drawing/2014/main" id="{61BADFF3-E2B8-4B81-94F6-4F506DD1F58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2290" y="524071"/>
              <a:ext cx="542831" cy="2231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142040</xdr:colOff>
      <xdr:row>4</xdr:row>
      <xdr:rowOff>50132</xdr:rowOff>
    </xdr:from>
    <xdr:to>
      <xdr:col>3</xdr:col>
      <xdr:colOff>119971</xdr:colOff>
      <xdr:row>6</xdr:row>
      <xdr:rowOff>25066</xdr:rowOff>
    </xdr:to>
    <xdr:graphicFrame macro="">
      <xdr:nvGraphicFramePr>
        <xdr:cNvPr id="38" name="Chart 37">
          <a:hlinkClick xmlns:r="http://schemas.openxmlformats.org/officeDocument/2006/relationships" r:id="rId8"/>
          <a:extLst>
            <a:ext uri="{FF2B5EF4-FFF2-40B4-BE49-F238E27FC236}">
              <a16:creationId xmlns:a16="http://schemas.microsoft.com/office/drawing/2014/main" id="{68F6EE63-E26A-44E4-9F04-3F8863145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143982</xdr:colOff>
      <xdr:row>2</xdr:row>
      <xdr:rowOff>105218</xdr:rowOff>
    </xdr:from>
    <xdr:to>
      <xdr:col>5</xdr:col>
      <xdr:colOff>121831</xdr:colOff>
      <xdr:row>6</xdr:row>
      <xdr:rowOff>16614</xdr:rowOff>
    </xdr:to>
    <xdr:graphicFrame macro="">
      <xdr:nvGraphicFramePr>
        <xdr:cNvPr id="39" name="Chart 38">
          <a:hlinkClick xmlns:r="http://schemas.openxmlformats.org/officeDocument/2006/relationships" r:id="rId10"/>
          <a:extLst>
            <a:ext uri="{FF2B5EF4-FFF2-40B4-BE49-F238E27FC236}">
              <a16:creationId xmlns:a16="http://schemas.microsoft.com/office/drawing/2014/main" id="{0639B356-F03C-476F-A9EC-3F6337630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123381</xdr:colOff>
      <xdr:row>4</xdr:row>
      <xdr:rowOff>133252</xdr:rowOff>
    </xdr:from>
    <xdr:to>
      <xdr:col>7</xdr:col>
      <xdr:colOff>172734</xdr:colOff>
      <xdr:row>6</xdr:row>
      <xdr:rowOff>111439</xdr:rowOff>
    </xdr:to>
    <xdr:graphicFrame macro="">
      <xdr:nvGraphicFramePr>
        <xdr:cNvPr id="40" name="Chart 39">
          <a:hlinkClick xmlns:r="http://schemas.openxmlformats.org/officeDocument/2006/relationships" r:id="rId12"/>
          <a:extLst>
            <a:ext uri="{FF2B5EF4-FFF2-40B4-BE49-F238E27FC236}">
              <a16:creationId xmlns:a16="http://schemas.microsoft.com/office/drawing/2014/main" id="{A98FFE8F-C9DD-4C77-9C4F-F56722E0E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143674</xdr:colOff>
          <xdr:row>6</xdr:row>
          <xdr:rowOff>60924</xdr:rowOff>
        </xdr:from>
        <xdr:to>
          <xdr:col>7</xdr:col>
          <xdr:colOff>207528</xdr:colOff>
          <xdr:row>8</xdr:row>
          <xdr:rowOff>31927</xdr:rowOff>
        </xdr:to>
        <xdr:pic>
          <xdr:nvPicPr>
            <xdr:cNvPr id="44" name="Picture 43">
              <a:extLst>
                <a:ext uri="{FF2B5EF4-FFF2-40B4-BE49-F238E27FC236}">
                  <a16:creationId xmlns:a16="http://schemas.microsoft.com/office/drawing/2014/main" id="{A364A8C1-7C51-D9DF-C302-11561E70A703}"/>
                </a:ext>
              </a:extLst>
            </xdr:cNvPr>
            <xdr:cNvPicPr>
              <a:picLocks noChangeAspect="1" noChangeArrowheads="1"/>
              <a:extLst>
                <a:ext uri="{84589F7E-364E-4C9E-8A38-B11213B215E9}">
                  <a14:cameraTool cellRange="'Pivot Report'!$A$28:$D$30" spid="_x0000_s2090"/>
                </a:ext>
              </a:extLst>
            </xdr:cNvPicPr>
          </xdr:nvPicPr>
          <xdr:blipFill>
            <a:blip xmlns:r="http://schemas.openxmlformats.org/officeDocument/2006/relationships" r:embed="rId14"/>
            <a:srcRect/>
            <a:stretch>
              <a:fillRect/>
            </a:stretch>
          </xdr:blipFill>
          <xdr:spPr bwMode="auto">
            <a:xfrm>
              <a:off x="755615" y="1210309"/>
              <a:ext cx="3735502" cy="354132"/>
            </a:xfrm>
            <a:prstGeom prst="rect">
              <a:avLst/>
            </a:prstGeom>
            <a:noFill/>
            <a:effectLst>
              <a:softEdge rad="0"/>
            </a:effectLst>
            <a:extLst>
              <a:ext uri="{909E8E84-426E-40DD-AFC4-6F175D3DCCD1}">
                <a14:hiddenFill>
                  <a:solidFill>
                    <a:srgbClr val="FFFFFF"/>
                  </a:solidFill>
                </a14:hiddenFill>
              </a:ext>
            </a:extLst>
          </xdr:spPr>
        </xdr:pic>
        <xdr:clientData/>
      </xdr:twoCellAnchor>
    </mc:Choice>
    <mc:Fallback/>
  </mc:AlternateContent>
  <xdr:twoCellAnchor>
    <xdr:from>
      <xdr:col>1</xdr:col>
      <xdr:colOff>143904</xdr:colOff>
      <xdr:row>8</xdr:row>
      <xdr:rowOff>61674</xdr:rowOff>
    </xdr:from>
    <xdr:to>
      <xdr:col>7</xdr:col>
      <xdr:colOff>205575</xdr:colOff>
      <xdr:row>14</xdr:row>
      <xdr:rowOff>89083</xdr:rowOff>
    </xdr:to>
    <xdr:graphicFrame macro="">
      <xdr:nvGraphicFramePr>
        <xdr:cNvPr id="45" name="Chart 44">
          <a:extLst>
            <a:ext uri="{FF2B5EF4-FFF2-40B4-BE49-F238E27FC236}">
              <a16:creationId xmlns:a16="http://schemas.microsoft.com/office/drawing/2014/main" id="{5A917BB3-BDE0-47F7-A151-82FD34861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575612</xdr:colOff>
      <xdr:row>13</xdr:row>
      <xdr:rowOff>109640</xdr:rowOff>
    </xdr:from>
    <xdr:to>
      <xdr:col>5</xdr:col>
      <xdr:colOff>383741</xdr:colOff>
      <xdr:row>14</xdr:row>
      <xdr:rowOff>82230</xdr:rowOff>
    </xdr:to>
    <xdr:sp macro="" textlink="">
      <xdr:nvSpPr>
        <xdr:cNvPr id="46" name="TextBox 45">
          <a:extLst>
            <a:ext uri="{FF2B5EF4-FFF2-40B4-BE49-F238E27FC236}">
              <a16:creationId xmlns:a16="http://schemas.microsoft.com/office/drawing/2014/main" id="{86357D53-C878-4424-96CD-415BD7BCDF2D}"/>
            </a:ext>
          </a:extLst>
        </xdr:cNvPr>
        <xdr:cNvSpPr txBox="1"/>
      </xdr:nvSpPr>
      <xdr:spPr>
        <a:xfrm>
          <a:off x="1795360" y="2603957"/>
          <a:ext cx="1637752" cy="16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a:t>
          </a:r>
          <a:r>
            <a:rPr lang="en-IN" sz="800" baseline="0"/>
            <a:t>Patient</a:t>
          </a:r>
          <a:r>
            <a:rPr lang="en-IN" sz="900" baseline="0"/>
            <a:t> </a:t>
          </a:r>
          <a:r>
            <a:rPr lang="en-IN" sz="800" baseline="0"/>
            <a:t>By</a:t>
          </a:r>
          <a:r>
            <a:rPr lang="en-IN" sz="900" baseline="0"/>
            <a:t> Age Group</a:t>
          </a:r>
          <a:endParaRPr lang="en-IN" sz="900"/>
        </a:p>
      </xdr:txBody>
    </xdr:sp>
    <xdr:clientData/>
  </xdr:twoCellAnchor>
  <xdr:twoCellAnchor>
    <xdr:from>
      <xdr:col>7</xdr:col>
      <xdr:colOff>137050</xdr:colOff>
      <xdr:row>0</xdr:row>
      <xdr:rowOff>102787</xdr:rowOff>
    </xdr:from>
    <xdr:to>
      <xdr:col>9</xdr:col>
      <xdr:colOff>143904</xdr:colOff>
      <xdr:row>5</xdr:row>
      <xdr:rowOff>95935</xdr:rowOff>
    </xdr:to>
    <xdr:graphicFrame macro="">
      <xdr:nvGraphicFramePr>
        <xdr:cNvPr id="47" name="Chart 46">
          <a:extLst>
            <a:ext uri="{FF2B5EF4-FFF2-40B4-BE49-F238E27FC236}">
              <a16:creationId xmlns:a16="http://schemas.microsoft.com/office/drawing/2014/main" id="{F2B4DC29-AFBE-46C3-9662-0B986D385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147818</xdr:colOff>
      <xdr:row>5</xdr:row>
      <xdr:rowOff>35433</xdr:rowOff>
    </xdr:from>
    <xdr:to>
      <xdr:col>9</xdr:col>
      <xdr:colOff>122075</xdr:colOff>
      <xdr:row>5</xdr:row>
      <xdr:rowOff>188689</xdr:rowOff>
    </xdr:to>
    <xdr:sp macro="" textlink="">
      <xdr:nvSpPr>
        <xdr:cNvPr id="49" name="TextBox 48">
          <a:extLst>
            <a:ext uri="{FF2B5EF4-FFF2-40B4-BE49-F238E27FC236}">
              <a16:creationId xmlns:a16="http://schemas.microsoft.com/office/drawing/2014/main" id="{025C2AD5-82B1-4808-80A7-60195AB277AE}"/>
            </a:ext>
          </a:extLst>
        </xdr:cNvPr>
        <xdr:cNvSpPr txBox="1"/>
      </xdr:nvSpPr>
      <xdr:spPr>
        <a:xfrm>
          <a:off x="4416937" y="994786"/>
          <a:ext cx="1194005" cy="153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Patient Attended Status</a:t>
          </a:r>
          <a:endParaRPr lang="en-IN" sz="800"/>
        </a:p>
      </xdr:txBody>
    </xdr:sp>
    <xdr:clientData/>
  </xdr:twoCellAnchor>
  <xdr:twoCellAnchor>
    <xdr:from>
      <xdr:col>9</xdr:col>
      <xdr:colOff>89082</xdr:colOff>
      <xdr:row>0</xdr:row>
      <xdr:rowOff>68526</xdr:rowOff>
    </xdr:from>
    <xdr:to>
      <xdr:col>10</xdr:col>
      <xdr:colOff>479675</xdr:colOff>
      <xdr:row>5</xdr:row>
      <xdr:rowOff>164461</xdr:rowOff>
    </xdr:to>
    <xdr:graphicFrame macro="">
      <xdr:nvGraphicFramePr>
        <xdr:cNvPr id="50" name="Chart 49">
          <a:extLst>
            <a:ext uri="{FF2B5EF4-FFF2-40B4-BE49-F238E27FC236}">
              <a16:creationId xmlns:a16="http://schemas.microsoft.com/office/drawing/2014/main" id="{BF303324-6EC5-48AB-8A73-B8211618C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2845</xdr:colOff>
      <xdr:row>5</xdr:row>
      <xdr:rowOff>62843</xdr:rowOff>
    </xdr:from>
    <xdr:to>
      <xdr:col>10</xdr:col>
      <xdr:colOff>586976</xdr:colOff>
      <xdr:row>6</xdr:row>
      <xdr:rowOff>24229</xdr:rowOff>
    </xdr:to>
    <xdr:sp macro="" textlink="">
      <xdr:nvSpPr>
        <xdr:cNvPr id="52" name="TextBox 51">
          <a:extLst>
            <a:ext uri="{FF2B5EF4-FFF2-40B4-BE49-F238E27FC236}">
              <a16:creationId xmlns:a16="http://schemas.microsoft.com/office/drawing/2014/main" id="{75EAB9DB-96B5-4C2D-8E1E-861FE13000CB}"/>
            </a:ext>
          </a:extLst>
        </xdr:cNvPr>
        <xdr:cNvSpPr txBox="1"/>
      </xdr:nvSpPr>
      <xdr:spPr>
        <a:xfrm>
          <a:off x="5491712" y="1022196"/>
          <a:ext cx="1194005" cy="153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a:t>
          </a:r>
          <a:r>
            <a:rPr lang="en-IN" sz="800" baseline="0"/>
            <a:t> Wise Analysis</a:t>
          </a:r>
          <a:endParaRPr lang="en-IN" sz="800"/>
        </a:p>
      </xdr:txBody>
    </xdr:sp>
    <xdr:clientData/>
  </xdr:twoCellAnchor>
  <xdr:twoCellAnchor>
    <xdr:from>
      <xdr:col>7</xdr:col>
      <xdr:colOff>308363</xdr:colOff>
      <xdr:row>6</xdr:row>
      <xdr:rowOff>123344</xdr:rowOff>
    </xdr:from>
    <xdr:to>
      <xdr:col>10</xdr:col>
      <xdr:colOff>418005</xdr:colOff>
      <xdr:row>14</xdr:row>
      <xdr:rowOff>82230</xdr:rowOff>
    </xdr:to>
    <xdr:graphicFrame macro="">
      <xdr:nvGraphicFramePr>
        <xdr:cNvPr id="53" name="Chart 52">
          <a:extLst>
            <a:ext uri="{FF2B5EF4-FFF2-40B4-BE49-F238E27FC236}">
              <a16:creationId xmlns:a16="http://schemas.microsoft.com/office/drawing/2014/main" id="{8658BA8A-3EBA-4802-999D-0F1BAC73B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431707</xdr:colOff>
      <xdr:row>0</xdr:row>
      <xdr:rowOff>89081</xdr:rowOff>
    </xdr:from>
    <xdr:to>
      <xdr:col>7</xdr:col>
      <xdr:colOff>183959</xdr:colOff>
      <xdr:row>2</xdr:row>
      <xdr:rowOff>65340</xdr:rowOff>
    </xdr:to>
    <mc:AlternateContent xmlns:mc="http://schemas.openxmlformats.org/markup-compatibility/2006" xmlns:a14="http://schemas.microsoft.com/office/drawing/2010/main">
      <mc:Choice Requires="a14">
        <xdr:graphicFrame macro="">
          <xdr:nvGraphicFramePr>
            <xdr:cNvPr id="54" name="Date (Year)">
              <a:extLst>
                <a:ext uri="{FF2B5EF4-FFF2-40B4-BE49-F238E27FC236}">
                  <a16:creationId xmlns:a16="http://schemas.microsoft.com/office/drawing/2014/main" id="{2458FA7A-E81E-4545-870F-68BFD1EFDE0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76584" y="89081"/>
              <a:ext cx="970203" cy="361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0.01413</cdr:x>
      <cdr:y>0.89908</cdr:y>
    </cdr:from>
    <cdr:to>
      <cdr:x>1</cdr:x>
      <cdr:y>1</cdr:y>
    </cdr:to>
    <cdr:sp macro="" textlink="">
      <cdr:nvSpPr>
        <cdr:cNvPr id="2" name="TextBox 48">
          <a:extLst xmlns:a="http://schemas.openxmlformats.org/drawingml/2006/main">
            <a:ext uri="{FF2B5EF4-FFF2-40B4-BE49-F238E27FC236}">
              <a16:creationId xmlns:a16="http://schemas.microsoft.com/office/drawing/2014/main" id="{025C2AD5-82B1-4808-80A7-60195AB277AE}"/>
            </a:ext>
          </a:extLst>
        </cdr:cNvPr>
        <cdr:cNvSpPr txBox="1"/>
      </cdr:nvSpPr>
      <cdr:spPr>
        <a:xfrm xmlns:a="http://schemas.openxmlformats.org/drawingml/2006/main">
          <a:off x="27411" y="1343095"/>
          <a:ext cx="1911853" cy="15075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aseline="0"/>
            <a:t>No. of Patient by Department Referal</a:t>
          </a:r>
          <a:endParaRPr lang="en-IN" sz="8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459036</xdr:colOff>
      <xdr:row>2</xdr:row>
      <xdr:rowOff>149187</xdr:rowOff>
    </xdr:from>
    <xdr:to>
      <xdr:col>17</xdr:col>
      <xdr:colOff>80332</xdr:colOff>
      <xdr:row>21</xdr:row>
      <xdr:rowOff>114759</xdr:rowOff>
    </xdr:to>
    <xdr:graphicFrame macro="">
      <xdr:nvGraphicFramePr>
        <xdr:cNvPr id="2" name="Chart 1">
          <a:extLst>
            <a:ext uri="{FF2B5EF4-FFF2-40B4-BE49-F238E27FC236}">
              <a16:creationId xmlns:a16="http://schemas.microsoft.com/office/drawing/2014/main" id="{9E2F65CB-70D3-4B0F-9251-A746C0403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286897</xdr:colOff>
      <xdr:row>22</xdr:row>
      <xdr:rowOff>22952</xdr:rowOff>
    </xdr:from>
    <xdr:to>
      <xdr:col>12</xdr:col>
      <xdr:colOff>481988</xdr:colOff>
      <xdr:row>23</xdr:row>
      <xdr:rowOff>149187</xdr:rowOff>
    </xdr:to>
    <xdr:sp macro="" textlink="">
      <xdr:nvSpPr>
        <xdr:cNvPr id="3" name="TextBox 2">
          <a:extLst>
            <a:ext uri="{FF2B5EF4-FFF2-40B4-BE49-F238E27FC236}">
              <a16:creationId xmlns:a16="http://schemas.microsoft.com/office/drawing/2014/main" id="{E71D7244-5E38-BFE6-83F8-E2AC1E2D930B}"/>
            </a:ext>
          </a:extLst>
        </xdr:cNvPr>
        <xdr:cNvSpPr txBox="1"/>
      </xdr:nvSpPr>
      <xdr:spPr>
        <a:xfrm>
          <a:off x="2719789" y="4314940"/>
          <a:ext cx="5060874" cy="3213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C00000"/>
              </a:solidFill>
            </a:rPr>
            <a:t>Patient Satisfication Score</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1.00617E-7</cdr:x>
      <cdr:y>0</cdr:y>
    </cdr:from>
    <cdr:to>
      <cdr:x>0.04117</cdr:x>
      <cdr:y>0.10002</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B3C53ED-B90E-5F44-4787-833FE67EAE1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0"/>
          <a:ext cx="409172" cy="36499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123825</xdr:colOff>
      <xdr:row>2</xdr:row>
      <xdr:rowOff>180975</xdr:rowOff>
    </xdr:from>
    <xdr:to>
      <xdr:col>14</xdr:col>
      <xdr:colOff>219075</xdr:colOff>
      <xdr:row>18</xdr:row>
      <xdr:rowOff>180975</xdr:rowOff>
    </xdr:to>
    <xdr:graphicFrame macro="">
      <xdr:nvGraphicFramePr>
        <xdr:cNvPr id="2" name="Chart 1">
          <a:extLst>
            <a:ext uri="{FF2B5EF4-FFF2-40B4-BE49-F238E27FC236}">
              <a16:creationId xmlns:a16="http://schemas.microsoft.com/office/drawing/2014/main" id="{4F1E9850-1EE2-4479-AD09-356546D09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17</xdr:row>
      <xdr:rowOff>47625</xdr:rowOff>
    </xdr:from>
    <xdr:to>
      <xdr:col>11</xdr:col>
      <xdr:colOff>104775</xdr:colOff>
      <xdr:row>18</xdr:row>
      <xdr:rowOff>152400</xdr:rowOff>
    </xdr:to>
    <xdr:sp macro="" textlink="">
      <xdr:nvSpPr>
        <xdr:cNvPr id="3" name="TextBox 2">
          <a:extLst>
            <a:ext uri="{FF2B5EF4-FFF2-40B4-BE49-F238E27FC236}">
              <a16:creationId xmlns:a16="http://schemas.microsoft.com/office/drawing/2014/main" id="{A116E4D2-8998-7001-1C29-21AA40D7ADFB}"/>
            </a:ext>
          </a:extLst>
        </xdr:cNvPr>
        <xdr:cNvSpPr txBox="1"/>
      </xdr:nvSpPr>
      <xdr:spPr>
        <a:xfrm>
          <a:off x="1724025" y="3286125"/>
          <a:ext cx="5086350" cy="2952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rPr>
            <a:t>Average</a:t>
          </a:r>
          <a:r>
            <a:rPr lang="en-IN" sz="1400" baseline="0">
              <a:solidFill>
                <a:srgbClr val="C00000"/>
              </a:solidFill>
            </a:rPr>
            <a:t> Wait Time </a:t>
          </a:r>
          <a:endParaRPr lang="en-IN" sz="1400">
            <a:solidFill>
              <a:srgbClr val="C00000"/>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1.1588E-7</cdr:x>
      <cdr:y>0</cdr:y>
    </cdr:from>
    <cdr:to>
      <cdr:x>0.05077</cdr:x>
      <cdr:y>0.14063</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6A6014F-4DB1-B9ED-1E79-573DE7C2CE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0"/>
          <a:ext cx="438150" cy="428625"/>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238126</xdr:colOff>
      <xdr:row>2</xdr:row>
      <xdr:rowOff>142874</xdr:rowOff>
    </xdr:from>
    <xdr:to>
      <xdr:col>10</xdr:col>
      <xdr:colOff>295276</xdr:colOff>
      <xdr:row>16</xdr:row>
      <xdr:rowOff>161925</xdr:rowOff>
    </xdr:to>
    <xdr:graphicFrame macro="">
      <xdr:nvGraphicFramePr>
        <xdr:cNvPr id="2" name="Chart 1">
          <a:extLst>
            <a:ext uri="{FF2B5EF4-FFF2-40B4-BE49-F238E27FC236}">
              <a16:creationId xmlns:a16="http://schemas.microsoft.com/office/drawing/2014/main" id="{C5B7F408-5214-4252-B3B8-BB11BE9B7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439096</xdr:colOff>
      <xdr:row>13</xdr:row>
      <xdr:rowOff>148617</xdr:rowOff>
    </xdr:from>
    <xdr:to>
      <xdr:col>9</xdr:col>
      <xdr:colOff>101330</xdr:colOff>
      <xdr:row>15</xdr:row>
      <xdr:rowOff>54042</xdr:rowOff>
    </xdr:to>
    <xdr:sp macro="" textlink="">
      <xdr:nvSpPr>
        <xdr:cNvPr id="3" name="TextBox 2">
          <a:extLst>
            <a:ext uri="{FF2B5EF4-FFF2-40B4-BE49-F238E27FC236}">
              <a16:creationId xmlns:a16="http://schemas.microsoft.com/office/drawing/2014/main" id="{B6794357-F8C9-661D-DBC9-C477D0321009}"/>
            </a:ext>
          </a:extLst>
        </xdr:cNvPr>
        <xdr:cNvSpPr txBox="1"/>
      </xdr:nvSpPr>
      <xdr:spPr>
        <a:xfrm>
          <a:off x="1047075" y="2607553"/>
          <a:ext cx="4526064" cy="283723"/>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F0000"/>
              </a:solidFill>
            </a:rPr>
            <a:t>Showing a daily trend</a:t>
          </a:r>
          <a:r>
            <a:rPr lang="en-IN" sz="1050" baseline="0">
              <a:solidFill>
                <a:srgbClr val="FF0000"/>
              </a:solidFill>
            </a:rPr>
            <a:t> with an area sparkline like busy days or seasonal trends</a:t>
          </a:r>
          <a:r>
            <a:rPr lang="en-IN" sz="1050">
              <a:solidFill>
                <a:srgbClr val="FF0000"/>
              </a:solidFill>
            </a:rPr>
            <a:t> </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1.62948E-7</cdr:x>
      <cdr:y>3.74934E-7</cdr:y>
    </cdr:from>
    <cdr:to>
      <cdr:x>0.04486</cdr:x>
      <cdr:y>0.10093</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669A50C-70FB-0F32-3D1A-74049197E96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275277" cy="26919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2962964" createdVersion="5" refreshedVersion="8" minRefreshableVersion="3" recordCount="0" supportSubquery="1" supportAdvancedDrill="1" xr:uid="{10A65389-3AD0-462A-88EA-65F8FEA16AC5}">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3078703" createdVersion="5" refreshedVersion="8" minRefreshableVersion="3" recordCount="0" supportSubquery="1" supportAdvancedDrill="1" xr:uid="{522F2270-1926-4287-8EC4-F8033C84DF1B}">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3310187" createdVersion="5" refreshedVersion="8" minRefreshableVersion="3" recordCount="0" supportSubquery="1" supportAdvancedDrill="1" xr:uid="{262E2EEA-6724-4A18-AA72-5C6C1895B565}">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3541664" createdVersion="5" refreshedVersion="8" minRefreshableVersion="3" recordCount="0" supportSubquery="1" supportAdvancedDrill="1" xr:uid="{1A5A4439-6B29-4B32-87F4-32587EC70015}">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3888888" createdVersion="5" refreshedVersion="8" minRefreshableVersion="3" recordCount="0" supportSubquery="1" supportAdvancedDrill="1" xr:uid="{201F54B0-1C3A-4FC3-A8FD-F648B0A7CCA3}">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4467596" createdVersion="5" refreshedVersion="8" minRefreshableVersion="3" recordCount="0" supportSubquery="1" supportAdvancedDrill="1" xr:uid="{9ADFD770-41C9-4957-A01E-48FA4FF6A5BF}">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4930557" createdVersion="5" refreshedVersion="8" minRefreshableVersion="3" recordCount="0" supportSubquery="1" supportAdvancedDrill="1" xr:uid="{5D32D5AB-C654-4AAE-B165-1012103DF0D9}">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5277781" createdVersion="5" refreshedVersion="8" minRefreshableVersion="3" recordCount="0" supportSubquery="1" supportAdvancedDrill="1" xr:uid="{5020CAC9-3F9D-49F6-A9F3-28BB5D05EAF5}">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5624997" createdVersion="5" refreshedVersion="8" minRefreshableVersion="3" recordCount="0" supportSubquery="1" supportAdvancedDrill="1" xr:uid="{9B187118-D153-4C0C-A1F7-9C5069B638B4}">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597222" createdVersion="5" refreshedVersion="8" minRefreshableVersion="3" recordCount="0" supportSubquery="1" supportAdvancedDrill="1" xr:uid="{BA9683DB-6B6E-4BB8-89A6-8B3D07FCC91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6319443" createdVersion="5" refreshedVersion="8" minRefreshableVersion="3" recordCount="0" supportSubquery="1" supportAdvancedDrill="1" xr:uid="{77E0A6E4-F36B-491B-98CD-9E680459F180}">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8.402466782405" createdVersion="5" refreshedVersion="8" minRefreshableVersion="3" recordCount="0" supportSubquery="1" supportAdvancedDrill="1" xr:uid="{BB9D86CD-2A7B-4DA8-85F0-A3F28751F178}">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7.686554282409" createdVersion="3" refreshedVersion="8" minRefreshableVersion="3" recordCount="0" supportSubquery="1" supportAdvancedDrill="1" xr:uid="{EFE4D1C1-3CAC-466E-9649-A2B6C151332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1716993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Dhage" refreshedDate="45697.688353587961" createdVersion="3" refreshedVersion="8" minRefreshableVersion="3" recordCount="0" supportSubquery="1" supportAdvancedDrill="1" xr:uid="{38771E85-24B8-4109-BE8F-E0537A0B45D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643211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C7828-3DC2-4820-A79B-545B1778D6B5}" name="PivotTable4" cacheId="556" applyNumberFormats="0" applyBorderFormats="0" applyFontFormats="0" applyPatternFormats="0" applyAlignmentFormats="0" applyWidthHeightFormats="1" dataCaption="Values" tag="4b49d1ea-5e73-454f-bedf-fbb1a8b91b6f" updatedVersion="8" minRefreshableVersion="3" subtotalHiddenItems="1" itemPrintTitles="1" createdVersion="5" indent="0" outline="1" outlineData="1" multipleFieldFilters="0" chartFormat="9">
  <location ref="E7:F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2" subtotal="count" baseField="0" baseItem="3">
      <extLst>
        <ext xmlns:x15="http://schemas.microsoft.com/office/spreadsheetml/2010/11/main" uri="{FABC7310-3BB5-11E1-824E-6D434824019B}">
          <x15:dataField isCountDistinct="1"/>
        </ext>
      </extLst>
    </dataField>
  </dataFields>
  <chartFormats count="2">
    <chartFormat chart="6" format="6"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9BF056-9B44-4812-9909-419A41451B5B}" name="PivotTable9" cacheId="580" applyNumberFormats="0" applyBorderFormats="0" applyFontFormats="0" applyPatternFormats="0" applyAlignmentFormats="0" applyWidthHeightFormats="1" dataCaption="Values" tag="1ce12c23-3248-4e9e-98c4-6b0fad7f677f" updatedVersion="8" minRefreshableVersion="3" subtotalHiddenItems="1" itemPrintTitles="1" createdVersion="5" indent="0" outline="1" outlineData="1" multipleFieldFilters="0" chartFormat="11" rowHeaderCaption="  Row Labels">
  <location ref="A52:B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241">
      <pivotArea outline="0" collapsedLevelsAreSubtotals="1" fieldPosition="0"/>
    </format>
    <format dxfId="240">
      <pivotArea collapsedLevelsAreSubtotals="1" fieldPosition="0">
        <references count="1">
          <reference field="2" count="0"/>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D324F-1FA9-4115-AE56-B65BC0431EE0}" name="PivotTable3" cacheId="565" applyNumberFormats="0" applyBorderFormats="0" applyFontFormats="0" applyPatternFormats="0" applyAlignmentFormats="0" applyWidthHeightFormats="1" dataCaption="Values" tag="a0d9fd86-0e3f-4839-a57b-65ac3630557c"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2">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AA619F-94CA-4D9A-972C-8AD6C864BB10}" name="PivotTable8" cacheId="577" applyNumberFormats="0" applyBorderFormats="0" applyFontFormats="0" applyPatternFormats="0" applyAlignmentFormats="0" applyWidthHeightFormats="1" dataCaption="Values" tag="e5ad1638-98e5-47a9-b1d2-84d11e1e9e76" updatedVersion="8" minRefreshableVersion="3" subtotalHiddenItems="1" itemPrintTitles="1" createdVersion="5" indent="0" outline="1" outlineData="1" multipleFieldFilters="0" chartFormat="6" rowHeaderCaption="  Row Labels">
  <location ref="A36:B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44">
      <pivotArea outline="0" collapsedLevelsAreSubtotals="1" fieldPosition="0"/>
    </format>
    <format dxfId="243">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E320C-AE18-46F4-BA5B-1305BA9C9698}" name="PivotTable2" cacheId="562" applyNumberFormats="0" applyBorderFormats="0" applyFontFormats="0" applyPatternFormats="0" applyAlignmentFormats="0" applyWidthHeightFormats="1" dataCaption="Values" tag="d9d3d3f7-560e-4dc6-96b5-033901acbc0f"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5">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D4B786-7CC4-4B0A-AF35-21CEAF423E3A}" name="PivotTable7" cacheId="574" applyNumberFormats="0" applyBorderFormats="0" applyFontFormats="0" applyPatternFormats="0" applyAlignmentFormats="0" applyWidthHeightFormats="1" dataCaption="Values" tag="ea35edb0-b3d2-4396-a2ab-5296922cbb12" updatedVersion="8" minRefreshableVersion="3" subtotalHiddenItems="1" itemPrintTitles="1" createdVersion="5" indent="0" outline="1" outlineData="1" multipleFieldFilters="0" chartFormat="2">
  <location ref="A22:C2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47">
      <pivotArea outline="0" collapsedLevelsAreSubtotals="1" fieldPosition="0"/>
    </format>
    <format dxfId="246">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561284-9EC7-4BDF-B0F0-FB1E408C4807}" name="PivotTable12" cacheId="589" applyNumberFormats="0" applyBorderFormats="0" applyFontFormats="0" applyPatternFormats="0" applyAlignmentFormats="0" applyWidthHeightFormats="1" dataCaption="Values" tag="153147dc-a193-4222-b7a3-14c09a2933fd" updatedVersion="8" minRefreshableVersion="3" subtotalHiddenItems="1" itemPrintTitles="1" createdVersion="5" indent="0" outline="1" outlineData="1" multipleFieldFilters="0" chartFormat="20" rowHeaderCaption="  Row Labels">
  <location ref="D76:D78"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48">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1000A5-6006-41B0-A6BD-876ABE09D39C}" name="PivotTable11" cacheId="586" applyNumberFormats="0" applyBorderFormats="0" applyFontFormats="0" applyPatternFormats="0" applyAlignmentFormats="0" applyWidthHeightFormats="1" dataCaption="Values" tag="895b746b-b29c-4968-9fba-1060fbdbeb32" updatedVersion="8" minRefreshableVersion="3" subtotalHiddenItems="1" itemPrintTitles="1" createdVersion="5" indent="0" outline="1" outlineData="1" multipleFieldFilters="0" chartFormat="20" rowHeaderCaption="  Row Labels">
  <location ref="A70:B7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249">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45D1E9-FB96-4B9A-B808-1C2014DB446A}" name="PivotTable1" cacheId="559" applyNumberFormats="0" applyBorderFormats="0" applyFontFormats="0" applyPatternFormats="0" applyAlignmentFormats="0" applyWidthHeightFormats="1" dataCaption="Values" tag="0de020b8-6274-45b5-96e1-4bc695d95051"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BBE760-FC95-4AEA-9D2F-5046D6AFF004}" name="PivotTable6" cacheId="571" applyNumberFormats="0" applyBorderFormats="0" applyFontFormats="0" applyPatternFormats="0" applyAlignmentFormats="0" applyWidthHeightFormats="1" dataCaption="Values" tag="ba9ed096-a08d-4414-b09c-33161da7178a" updatedVersion="8" minRefreshableVersion="3" subtotalHiddenItems="1" itemPrintTitles="1" createdVersion="5" indent="0" outline="1" outlineData="1" multipleFieldFilters="0" chartFormat="24">
  <location ref="P6:Q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51">
      <pivotArea collapsedLevelsAreSubtotals="1" fieldPosition="0">
        <references count="1">
          <reference field="0" count="0"/>
        </references>
      </pivotArea>
    </format>
    <format dxfId="250">
      <pivotArea grandRow="1"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824019-BE2D-40C3-807C-842356674534}" name="PivotTable10" cacheId="583" applyNumberFormats="0" applyBorderFormats="0" applyFontFormats="0" applyPatternFormats="0" applyAlignmentFormats="0" applyWidthHeightFormats="1" dataCaption="Values" tag="4b6ee31d-5fd8-43c8-80f5-368dcf9063d9" updatedVersion="8" minRefreshableVersion="3" subtotalHiddenItems="1" itemPrintTitles="1" createdVersion="5" indent="0" outline="1" outlineData="1" multipleFieldFilters="0" chartFormat="17" rowHeaderCaption="  Row Labels">
  <location ref="A60: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52">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B46E57-AE50-4AE1-AE4C-433C08FBFBE1}" name="PivotTable5" cacheId="568" applyNumberFormats="0" applyBorderFormats="0" applyFontFormats="0" applyPatternFormats="0" applyAlignmentFormats="0" applyWidthHeightFormats="1" dataCaption="Values" tag="fe2b845c-8953-4c9f-818c-213628679ed3" updatedVersion="8" minRefreshableVersion="3" subtotalHiddenItems="1" itemPrintTitles="1" createdVersion="5" indent="0" outline="1" outlineData="1" multipleFieldFilters="0" chartFormat="21">
  <location ref="J7:K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254">
      <pivotArea collapsedLevelsAreSubtotals="1" fieldPosition="0">
        <references count="1">
          <reference field="0" count="0"/>
        </references>
      </pivotArea>
    </format>
    <format dxfId="253">
      <pivotArea grandRow="1"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865527C-CCC9-4652-AEF0-DDE2B9328016}"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61716993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3AC5323-9F5E-4A16-B140-DE4ECDDF4AE2}"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64321156">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4EA628C-0611-43E1-8EE1-73A3C9B8A130}" cache="Slicer_Date__Month" caption="Date (Month)" showCaption="0" level="1" style="My Style" rowHeight="144000"/>
  <slicer name="Date (Year)" xr10:uid="{F40717CB-D903-4779-9E51-C59C8B5B5E6D}" cache="Slicer_Date__Year" caption="Date (Year)" columnCount="2" showCaption="0" level="1" style="my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E9E1-AA8E-44D5-A68F-CFCC82EA554A}">
  <dimension ref="A5:Q79"/>
  <sheetViews>
    <sheetView topLeftCell="A62" zoomScale="86" workbookViewId="0">
      <selection activeCell="D76" sqref="D76"/>
    </sheetView>
  </sheetViews>
  <sheetFormatPr defaultRowHeight="15" x14ac:dyDescent="0.25"/>
  <cols>
    <col min="1" max="2" width="19.5703125" customWidth="1"/>
    <col min="3" max="3" width="21.140625" customWidth="1"/>
    <col min="4" max="4" width="24.5703125" customWidth="1"/>
    <col min="5" max="5" width="26.5703125" customWidth="1"/>
    <col min="10" max="10" width="13.140625" bestFit="1" customWidth="1"/>
    <col min="11" max="11" width="25.140625" bestFit="1" customWidth="1"/>
    <col min="16" max="16" width="14" bestFit="1" customWidth="1"/>
    <col min="17" max="17" width="27.7109375" bestFit="1" customWidth="1"/>
  </cols>
  <sheetData>
    <row r="5" spans="1:17" x14ac:dyDescent="0.25">
      <c r="A5" t="s">
        <v>2</v>
      </c>
    </row>
    <row r="6" spans="1:17" x14ac:dyDescent="0.25">
      <c r="A6" t="s">
        <v>1</v>
      </c>
      <c r="E6" t="s">
        <v>8</v>
      </c>
      <c r="J6" t="s">
        <v>9</v>
      </c>
      <c r="P6" s="1" t="s">
        <v>5</v>
      </c>
      <c r="Q6" t="s">
        <v>4</v>
      </c>
    </row>
    <row r="7" spans="1:17" x14ac:dyDescent="0.25">
      <c r="A7" s="11">
        <v>506</v>
      </c>
      <c r="E7" s="1" t="s">
        <v>5</v>
      </c>
      <c r="F7" t="s">
        <v>1</v>
      </c>
      <c r="J7" s="1" t="s">
        <v>5</v>
      </c>
      <c r="K7" t="s">
        <v>3</v>
      </c>
      <c r="P7" s="4" t="s">
        <v>41</v>
      </c>
      <c r="Q7" s="2">
        <v>7.2</v>
      </c>
    </row>
    <row r="8" spans="1:17" x14ac:dyDescent="0.25">
      <c r="E8" s="4" t="s">
        <v>41</v>
      </c>
      <c r="F8" s="11">
        <v>19</v>
      </c>
      <c r="J8" s="4" t="s">
        <v>41</v>
      </c>
      <c r="K8" s="2">
        <v>34.526315789473685</v>
      </c>
      <c r="P8" s="4" t="s">
        <v>42</v>
      </c>
      <c r="Q8" s="2">
        <v>6</v>
      </c>
    </row>
    <row r="9" spans="1:17" x14ac:dyDescent="0.25">
      <c r="E9" s="4" t="s">
        <v>42</v>
      </c>
      <c r="F9" s="11">
        <v>24</v>
      </c>
      <c r="J9" s="4" t="s">
        <v>42</v>
      </c>
      <c r="K9" s="2">
        <v>33.708333333333336</v>
      </c>
      <c r="P9" s="4" t="s">
        <v>43</v>
      </c>
      <c r="Q9" s="2">
        <v>1.5</v>
      </c>
    </row>
    <row r="10" spans="1:17" x14ac:dyDescent="0.25">
      <c r="A10" t="s">
        <v>3</v>
      </c>
      <c r="E10" s="4" t="s">
        <v>43</v>
      </c>
      <c r="F10" s="11">
        <v>24</v>
      </c>
      <c r="J10" s="4" t="s">
        <v>43</v>
      </c>
      <c r="K10" s="2">
        <v>36.291666666666664</v>
      </c>
      <c r="P10" s="4" t="s">
        <v>44</v>
      </c>
      <c r="Q10" s="2">
        <v>2.75</v>
      </c>
    </row>
    <row r="11" spans="1:17" x14ac:dyDescent="0.25">
      <c r="A11" s="2">
        <v>35.879446640316203</v>
      </c>
      <c r="E11" s="4" t="s">
        <v>44</v>
      </c>
      <c r="F11" s="11">
        <v>14</v>
      </c>
      <c r="J11" s="4" t="s">
        <v>44</v>
      </c>
      <c r="K11" s="2">
        <v>35.071428571428569</v>
      </c>
      <c r="P11" s="4" t="s">
        <v>45</v>
      </c>
      <c r="Q11" s="2">
        <v>5</v>
      </c>
    </row>
    <row r="12" spans="1:17" x14ac:dyDescent="0.25">
      <c r="E12" s="4" t="s">
        <v>45</v>
      </c>
      <c r="F12" s="11">
        <v>14</v>
      </c>
      <c r="J12" s="4" t="s">
        <v>45</v>
      </c>
      <c r="K12" s="2">
        <v>31.571428571428573</v>
      </c>
      <c r="P12" s="4" t="s">
        <v>46</v>
      </c>
      <c r="Q12" s="2">
        <v>5.5</v>
      </c>
    </row>
    <row r="13" spans="1:17" x14ac:dyDescent="0.25">
      <c r="E13" s="4" t="s">
        <v>46</v>
      </c>
      <c r="F13" s="11">
        <v>16</v>
      </c>
      <c r="J13" s="4" t="s">
        <v>46</v>
      </c>
      <c r="K13" s="2">
        <v>31.8125</v>
      </c>
      <c r="P13" s="4" t="s">
        <v>47</v>
      </c>
      <c r="Q13" s="2">
        <v>5.0909090909090908</v>
      </c>
    </row>
    <row r="14" spans="1:17" x14ac:dyDescent="0.25">
      <c r="E14" s="4" t="s">
        <v>47</v>
      </c>
      <c r="F14" s="11">
        <v>26</v>
      </c>
      <c r="J14" s="4" t="s">
        <v>47</v>
      </c>
      <c r="K14" s="2">
        <v>36.846153846153847</v>
      </c>
      <c r="P14" s="4" t="s">
        <v>48</v>
      </c>
      <c r="Q14" s="2">
        <v>7.666666666666667</v>
      </c>
    </row>
    <row r="15" spans="1:17" x14ac:dyDescent="0.25">
      <c r="E15" s="4" t="s">
        <v>48</v>
      </c>
      <c r="F15" s="11">
        <v>14</v>
      </c>
      <c r="J15" s="4" t="s">
        <v>48</v>
      </c>
      <c r="K15" s="2">
        <v>34.071428571428569</v>
      </c>
      <c r="P15" s="4" t="s">
        <v>49</v>
      </c>
      <c r="Q15" s="2">
        <v>3.5</v>
      </c>
    </row>
    <row r="16" spans="1:17" x14ac:dyDescent="0.25">
      <c r="A16" t="s">
        <v>4</v>
      </c>
      <c r="E16" s="4" t="s">
        <v>49</v>
      </c>
      <c r="F16" s="11">
        <v>22</v>
      </c>
      <c r="J16" s="4" t="s">
        <v>49</v>
      </c>
      <c r="K16" s="2">
        <v>33</v>
      </c>
      <c r="P16" s="4" t="s">
        <v>50</v>
      </c>
      <c r="Q16" s="2">
        <v>3.6666666666666665</v>
      </c>
    </row>
    <row r="17" spans="1:17" x14ac:dyDescent="0.25">
      <c r="A17" s="2">
        <v>5.3277310924369745</v>
      </c>
      <c r="E17" s="4" t="s">
        <v>50</v>
      </c>
      <c r="F17" s="11">
        <v>18</v>
      </c>
      <c r="J17" s="4" t="s">
        <v>50</v>
      </c>
      <c r="K17" s="2">
        <v>40.222222222222221</v>
      </c>
      <c r="P17" s="4" t="s">
        <v>51</v>
      </c>
      <c r="Q17" s="2">
        <v>3.8</v>
      </c>
    </row>
    <row r="18" spans="1:17" x14ac:dyDescent="0.25">
      <c r="E18" s="4" t="s">
        <v>51</v>
      </c>
      <c r="F18" s="11">
        <v>20</v>
      </c>
      <c r="J18" s="4" t="s">
        <v>51</v>
      </c>
      <c r="K18" s="2">
        <v>42.05</v>
      </c>
      <c r="P18" s="4" t="s">
        <v>52</v>
      </c>
      <c r="Q18" s="2">
        <v>1</v>
      </c>
    </row>
    <row r="19" spans="1:17" x14ac:dyDescent="0.25">
      <c r="E19" s="4" t="s">
        <v>52</v>
      </c>
      <c r="F19" s="11">
        <v>13</v>
      </c>
      <c r="J19" s="4" t="s">
        <v>52</v>
      </c>
      <c r="K19" s="2">
        <v>42.615384615384613</v>
      </c>
      <c r="P19" s="4" t="s">
        <v>53</v>
      </c>
      <c r="Q19" s="2">
        <v>7</v>
      </c>
    </row>
    <row r="20" spans="1:17" x14ac:dyDescent="0.25">
      <c r="E20" s="4" t="s">
        <v>53</v>
      </c>
      <c r="F20" s="11">
        <v>13</v>
      </c>
      <c r="J20" s="4" t="s">
        <v>53</v>
      </c>
      <c r="K20" s="2">
        <v>40.46153846153846</v>
      </c>
      <c r="P20" s="4" t="s">
        <v>54</v>
      </c>
      <c r="Q20" s="2">
        <v>5</v>
      </c>
    </row>
    <row r="21" spans="1:17" x14ac:dyDescent="0.25">
      <c r="E21" s="4" t="s">
        <v>54</v>
      </c>
      <c r="F21" s="11">
        <v>14</v>
      </c>
      <c r="J21" s="4" t="s">
        <v>54</v>
      </c>
      <c r="K21" s="2">
        <v>34.071428571428569</v>
      </c>
      <c r="P21" s="4" t="s">
        <v>55</v>
      </c>
      <c r="Q21" s="2">
        <v>4.25</v>
      </c>
    </row>
    <row r="22" spans="1:17" x14ac:dyDescent="0.25">
      <c r="A22" s="1" t="s">
        <v>5</v>
      </c>
      <c r="B22" t="s">
        <v>25</v>
      </c>
      <c r="C22" t="s">
        <v>26</v>
      </c>
      <c r="E22" s="4" t="s">
        <v>55</v>
      </c>
      <c r="F22" s="11">
        <v>13</v>
      </c>
      <c r="J22" s="4" t="s">
        <v>55</v>
      </c>
      <c r="K22" s="2">
        <v>33.92307692307692</v>
      </c>
      <c r="P22" s="4" t="s">
        <v>56</v>
      </c>
      <c r="Q22" s="2">
        <v>4</v>
      </c>
    </row>
    <row r="23" spans="1:17" x14ac:dyDescent="0.25">
      <c r="A23" s="4" t="s">
        <v>12</v>
      </c>
      <c r="B23" s="2">
        <v>253</v>
      </c>
      <c r="C23" s="6">
        <v>0.5</v>
      </c>
      <c r="D23" s="6"/>
      <c r="E23" s="4" t="s">
        <v>56</v>
      </c>
      <c r="F23" s="11">
        <v>18</v>
      </c>
      <c r="J23" s="4" t="s">
        <v>56</v>
      </c>
      <c r="K23" s="2">
        <v>43.166666666666664</v>
      </c>
      <c r="P23" s="4" t="s">
        <v>57</v>
      </c>
      <c r="Q23" s="2">
        <v>7.333333333333333</v>
      </c>
    </row>
    <row r="24" spans="1:17" x14ac:dyDescent="0.25">
      <c r="A24" s="4" t="s">
        <v>20</v>
      </c>
      <c r="B24" s="2">
        <v>253</v>
      </c>
      <c r="C24" s="6">
        <v>0.5</v>
      </c>
      <c r="D24" s="6"/>
      <c r="E24" s="4" t="s">
        <v>57</v>
      </c>
      <c r="F24" s="11">
        <v>12</v>
      </c>
      <c r="J24" s="4" t="s">
        <v>57</v>
      </c>
      <c r="K24" s="2">
        <v>42.25</v>
      </c>
      <c r="P24" s="4" t="s">
        <v>58</v>
      </c>
      <c r="Q24" s="2">
        <v>9</v>
      </c>
    </row>
    <row r="25" spans="1:17" x14ac:dyDescent="0.25">
      <c r="A25" s="4" t="s">
        <v>6</v>
      </c>
      <c r="B25" s="2">
        <v>506</v>
      </c>
      <c r="C25" s="6">
        <v>1</v>
      </c>
      <c r="D25" s="6"/>
      <c r="E25" s="4" t="s">
        <v>58</v>
      </c>
      <c r="F25" s="11">
        <v>11</v>
      </c>
      <c r="J25" s="4" t="s">
        <v>58</v>
      </c>
      <c r="K25" s="2">
        <v>44.090909090909093</v>
      </c>
      <c r="P25" s="4" t="s">
        <v>59</v>
      </c>
      <c r="Q25" s="2">
        <v>5.25</v>
      </c>
    </row>
    <row r="26" spans="1:17" x14ac:dyDescent="0.25">
      <c r="E26" s="4" t="s">
        <v>59</v>
      </c>
      <c r="F26" s="11">
        <v>14</v>
      </c>
      <c r="J26" s="4" t="s">
        <v>59</v>
      </c>
      <c r="K26" s="2">
        <v>39</v>
      </c>
      <c r="P26" s="4" t="s">
        <v>60</v>
      </c>
      <c r="Q26" s="2">
        <v>6.6</v>
      </c>
    </row>
    <row r="27" spans="1:17" x14ac:dyDescent="0.25">
      <c r="E27" s="4" t="s">
        <v>60</v>
      </c>
      <c r="F27" s="11">
        <v>12</v>
      </c>
      <c r="J27" s="4" t="s">
        <v>60</v>
      </c>
      <c r="K27" s="2">
        <v>31.25</v>
      </c>
      <c r="P27" s="4" t="s">
        <v>61</v>
      </c>
      <c r="Q27" s="2">
        <v>6.25</v>
      </c>
    </row>
    <row r="28" spans="1:17" x14ac:dyDescent="0.25">
      <c r="A28" s="8" t="s">
        <v>27</v>
      </c>
      <c r="B28" s="9" t="s">
        <v>28</v>
      </c>
      <c r="C28" s="9" t="s">
        <v>29</v>
      </c>
      <c r="D28" s="9"/>
      <c r="E28" s="4" t="s">
        <v>61</v>
      </c>
      <c r="F28" s="11">
        <v>16</v>
      </c>
      <c r="J28" s="4" t="s">
        <v>61</v>
      </c>
      <c r="K28" s="2">
        <v>28.5</v>
      </c>
      <c r="P28" s="4" t="s">
        <v>62</v>
      </c>
      <c r="Q28" s="2">
        <v>6.333333333333333</v>
      </c>
    </row>
    <row r="29" spans="1:17" x14ac:dyDescent="0.25">
      <c r="A29" t="str">
        <f>A24</f>
        <v>Not Admitted</v>
      </c>
      <c r="B29">
        <f t="shared" ref="B29:C29" si="0">B24</f>
        <v>253</v>
      </c>
      <c r="C29" s="7">
        <f t="shared" si="0"/>
        <v>0.5</v>
      </c>
      <c r="E29" s="4" t="s">
        <v>62</v>
      </c>
      <c r="F29" s="11">
        <v>16</v>
      </c>
      <c r="J29" s="4" t="s">
        <v>62</v>
      </c>
      <c r="K29" s="2">
        <v>34.0625</v>
      </c>
      <c r="P29" s="4" t="s">
        <v>63</v>
      </c>
      <c r="Q29" s="2">
        <v>7</v>
      </c>
    </row>
    <row r="30" spans="1:17" x14ac:dyDescent="0.25">
      <c r="A30" t="str">
        <f>A23</f>
        <v>Admitted</v>
      </c>
      <c r="B30">
        <f t="shared" ref="B30:C30" si="1">B23</f>
        <v>253</v>
      </c>
      <c r="C30" s="7">
        <f t="shared" si="1"/>
        <v>0.5</v>
      </c>
      <c r="E30" s="4" t="s">
        <v>63</v>
      </c>
      <c r="F30" s="11">
        <v>15</v>
      </c>
      <c r="J30" s="4" t="s">
        <v>63</v>
      </c>
      <c r="K30" s="2">
        <v>25.2</v>
      </c>
      <c r="P30" s="4" t="s">
        <v>64</v>
      </c>
      <c r="Q30" s="2">
        <v>5.666666666666667</v>
      </c>
    </row>
    <row r="31" spans="1:17" x14ac:dyDescent="0.25">
      <c r="E31" s="4" t="s">
        <v>64</v>
      </c>
      <c r="F31" s="11">
        <v>22</v>
      </c>
      <c r="J31" s="4" t="s">
        <v>64</v>
      </c>
      <c r="K31" s="2">
        <v>35.863636363636367</v>
      </c>
      <c r="P31" s="4" t="s">
        <v>65</v>
      </c>
      <c r="Q31" s="2">
        <v>3.3333333333333335</v>
      </c>
    </row>
    <row r="32" spans="1:17" x14ac:dyDescent="0.25">
      <c r="E32" s="4" t="s">
        <v>65</v>
      </c>
      <c r="F32" s="11">
        <v>18</v>
      </c>
      <c r="J32" s="4" t="s">
        <v>65</v>
      </c>
      <c r="K32" s="2">
        <v>39.833333333333336</v>
      </c>
      <c r="P32" s="4" t="s">
        <v>66</v>
      </c>
      <c r="Q32" s="2">
        <v>4.75</v>
      </c>
    </row>
    <row r="33" spans="1:17" x14ac:dyDescent="0.25">
      <c r="E33" s="4" t="s">
        <v>66</v>
      </c>
      <c r="F33" s="11">
        <v>10</v>
      </c>
      <c r="J33" s="4" t="s">
        <v>66</v>
      </c>
      <c r="K33" s="2">
        <v>37</v>
      </c>
      <c r="P33" s="4" t="s">
        <v>67</v>
      </c>
      <c r="Q33" s="2">
        <v>2</v>
      </c>
    </row>
    <row r="34" spans="1:17" x14ac:dyDescent="0.25">
      <c r="E34" s="4" t="s">
        <v>67</v>
      </c>
      <c r="F34" s="11">
        <v>17</v>
      </c>
      <c r="J34" s="4" t="s">
        <v>67</v>
      </c>
      <c r="K34" s="2">
        <v>39.411764705882355</v>
      </c>
      <c r="P34" s="4" t="s">
        <v>68</v>
      </c>
      <c r="Q34" s="2">
        <v>9.25</v>
      </c>
    </row>
    <row r="35" spans="1:17" x14ac:dyDescent="0.25">
      <c r="E35" s="4" t="s">
        <v>68</v>
      </c>
      <c r="F35" s="11">
        <v>17</v>
      </c>
      <c r="J35" s="4" t="s">
        <v>68</v>
      </c>
      <c r="K35" s="2">
        <v>30.294117647058822</v>
      </c>
      <c r="P35" s="4" t="s">
        <v>69</v>
      </c>
      <c r="Q35" s="2">
        <v>2.6666666666666665</v>
      </c>
    </row>
    <row r="36" spans="1:17" x14ac:dyDescent="0.25">
      <c r="A36" s="1" t="s">
        <v>33</v>
      </c>
      <c r="B36" t="s">
        <v>32</v>
      </c>
      <c r="E36" s="4" t="s">
        <v>69</v>
      </c>
      <c r="F36" s="11">
        <v>12</v>
      </c>
      <c r="J36" s="4" t="s">
        <v>69</v>
      </c>
      <c r="K36" s="2">
        <v>32.666666666666664</v>
      </c>
      <c r="P36" s="4" t="s">
        <v>70</v>
      </c>
      <c r="Q36" s="2">
        <v>4</v>
      </c>
    </row>
    <row r="37" spans="1:17" x14ac:dyDescent="0.25">
      <c r="A37" s="4" t="s">
        <v>15</v>
      </c>
      <c r="B37" s="10">
        <v>64</v>
      </c>
      <c r="E37" s="4" t="s">
        <v>70</v>
      </c>
      <c r="F37" s="11">
        <v>14</v>
      </c>
      <c r="J37" s="4" t="s">
        <v>70</v>
      </c>
      <c r="K37" s="2">
        <v>30.571428571428573</v>
      </c>
      <c r="P37" s="4" t="s">
        <v>71</v>
      </c>
      <c r="Q37" s="2">
        <v>8.75</v>
      </c>
    </row>
    <row r="38" spans="1:17" x14ac:dyDescent="0.25">
      <c r="A38" s="4" t="s">
        <v>23</v>
      </c>
      <c r="B38" s="10">
        <v>66</v>
      </c>
      <c r="E38" s="4" t="s">
        <v>71</v>
      </c>
      <c r="F38" s="11">
        <v>18</v>
      </c>
      <c r="J38" s="4" t="s">
        <v>71</v>
      </c>
      <c r="K38" s="2">
        <v>39.055555555555557</v>
      </c>
      <c r="P38" s="4" t="s">
        <v>6</v>
      </c>
      <c r="Q38" s="2">
        <v>5.3277310924369745</v>
      </c>
    </row>
    <row r="39" spans="1:17" x14ac:dyDescent="0.25">
      <c r="A39" s="4" t="s">
        <v>17</v>
      </c>
      <c r="B39" s="10">
        <v>65</v>
      </c>
      <c r="E39" s="4" t="s">
        <v>6</v>
      </c>
      <c r="F39" s="11">
        <v>506</v>
      </c>
      <c r="J39" s="4" t="s">
        <v>6</v>
      </c>
      <c r="K39" s="2">
        <v>35.879446640316203</v>
      </c>
    </row>
    <row r="40" spans="1:17" x14ac:dyDescent="0.25">
      <c r="A40" s="4" t="s">
        <v>24</v>
      </c>
      <c r="B40" s="10">
        <v>73</v>
      </c>
    </row>
    <row r="41" spans="1:17" x14ac:dyDescent="0.25">
      <c r="A41" s="4" t="s">
        <v>19</v>
      </c>
      <c r="B41" s="10">
        <v>45</v>
      </c>
    </row>
    <row r="42" spans="1:17" x14ac:dyDescent="0.25">
      <c r="A42" s="4" t="s">
        <v>13</v>
      </c>
      <c r="B42" s="10">
        <v>72</v>
      </c>
    </row>
    <row r="43" spans="1:17" x14ac:dyDescent="0.25">
      <c r="A43" s="4" t="s">
        <v>30</v>
      </c>
      <c r="B43" s="10">
        <v>74</v>
      </c>
    </row>
    <row r="44" spans="1:17" x14ac:dyDescent="0.25">
      <c r="A44" s="4" t="s">
        <v>31</v>
      </c>
      <c r="B44" s="10">
        <v>47</v>
      </c>
    </row>
    <row r="45" spans="1:17" x14ac:dyDescent="0.25">
      <c r="A45" s="4" t="s">
        <v>6</v>
      </c>
      <c r="B45" s="2">
        <v>506</v>
      </c>
    </row>
    <row r="52" spans="1:2" x14ac:dyDescent="0.25">
      <c r="A52" s="1" t="s">
        <v>33</v>
      </c>
      <c r="B52" t="s">
        <v>0</v>
      </c>
    </row>
    <row r="53" spans="1:2" x14ac:dyDescent="0.25">
      <c r="A53" s="4" t="s">
        <v>14</v>
      </c>
      <c r="B53" s="10">
        <v>312</v>
      </c>
    </row>
    <row r="54" spans="1:2" x14ac:dyDescent="0.25">
      <c r="A54" s="4" t="s">
        <v>21</v>
      </c>
      <c r="B54" s="10">
        <v>194</v>
      </c>
    </row>
    <row r="55" spans="1:2" x14ac:dyDescent="0.25">
      <c r="A55" s="4" t="s">
        <v>6</v>
      </c>
      <c r="B55" s="2">
        <v>506</v>
      </c>
    </row>
    <row r="60" spans="1:2" x14ac:dyDescent="0.25">
      <c r="A60" s="1" t="s">
        <v>33</v>
      </c>
      <c r="B60" t="s">
        <v>34</v>
      </c>
    </row>
    <row r="61" spans="1:2" x14ac:dyDescent="0.25">
      <c r="A61" s="4" t="s">
        <v>16</v>
      </c>
      <c r="B61" s="2">
        <v>231</v>
      </c>
    </row>
    <row r="62" spans="1:2" x14ac:dyDescent="0.25">
      <c r="A62" s="4" t="s">
        <v>10</v>
      </c>
      <c r="B62" s="2">
        <v>275</v>
      </c>
    </row>
    <row r="63" spans="1:2" x14ac:dyDescent="0.25">
      <c r="A63" s="4" t="s">
        <v>6</v>
      </c>
      <c r="B63" s="2">
        <v>506</v>
      </c>
    </row>
    <row r="70" spans="1:4" x14ac:dyDescent="0.25">
      <c r="A70" s="1" t="s">
        <v>33</v>
      </c>
      <c r="B70" t="s">
        <v>40</v>
      </c>
    </row>
    <row r="71" spans="1:4" x14ac:dyDescent="0.25">
      <c r="A71" s="4" t="s">
        <v>39</v>
      </c>
      <c r="B71" s="2">
        <v>3</v>
      </c>
    </row>
    <row r="72" spans="1:4" x14ac:dyDescent="0.25">
      <c r="A72" s="4" t="s">
        <v>37</v>
      </c>
      <c r="B72" s="2">
        <v>5</v>
      </c>
    </row>
    <row r="73" spans="1:4" x14ac:dyDescent="0.25">
      <c r="A73" s="4" t="s">
        <v>36</v>
      </c>
      <c r="B73" s="2">
        <v>6</v>
      </c>
    </row>
    <row r="74" spans="1:4" x14ac:dyDescent="0.25">
      <c r="A74" s="4" t="s">
        <v>38</v>
      </c>
      <c r="B74" s="2">
        <v>14</v>
      </c>
    </row>
    <row r="75" spans="1:4" x14ac:dyDescent="0.25">
      <c r="A75" s="4" t="s">
        <v>35</v>
      </c>
      <c r="B75" s="2">
        <v>15</v>
      </c>
    </row>
    <row r="76" spans="1:4" x14ac:dyDescent="0.25">
      <c r="A76" s="4" t="s">
        <v>22</v>
      </c>
      <c r="B76" s="2">
        <v>59</v>
      </c>
      <c r="D76" s="1" t="s">
        <v>33</v>
      </c>
    </row>
    <row r="77" spans="1:4" x14ac:dyDescent="0.25">
      <c r="A77" s="4" t="s">
        <v>18</v>
      </c>
      <c r="B77" s="2">
        <v>93</v>
      </c>
      <c r="D77" s="4" t="s">
        <v>7</v>
      </c>
    </row>
    <row r="78" spans="1:4" x14ac:dyDescent="0.25">
      <c r="A78" s="4" t="s">
        <v>11</v>
      </c>
      <c r="B78" s="2">
        <v>311</v>
      </c>
      <c r="D78" s="4" t="s">
        <v>6</v>
      </c>
    </row>
    <row r="79" spans="1:4" x14ac:dyDescent="0.25">
      <c r="A79" s="4" t="s">
        <v>6</v>
      </c>
      <c r="B79" s="2">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7698C-48F1-4244-9219-2768777005AB}">
  <dimension ref="A1:L67"/>
  <sheetViews>
    <sheetView tabSelected="1" zoomScale="183" zoomScaleNormal="262" workbookViewId="0"/>
  </sheetViews>
  <sheetFormatPr defaultRowHeight="15" x14ac:dyDescent="0.25"/>
  <sheetData>
    <row r="1" spans="1:12" x14ac:dyDescent="0.25">
      <c r="A1" s="3"/>
      <c r="B1" s="3"/>
      <c r="C1" s="3"/>
      <c r="D1" s="3"/>
      <c r="E1" s="3"/>
      <c r="F1" s="3"/>
      <c r="G1" s="3"/>
      <c r="H1" s="3"/>
      <c r="I1" s="3"/>
      <c r="J1" s="3"/>
      <c r="K1" s="3"/>
      <c r="L1" s="3"/>
    </row>
    <row r="2" spans="1:12" x14ac:dyDescent="0.25">
      <c r="A2" s="3"/>
      <c r="B2" s="3"/>
      <c r="C2" s="3"/>
      <c r="D2" s="3"/>
      <c r="E2" s="3"/>
      <c r="F2" s="3"/>
      <c r="G2" s="3"/>
      <c r="H2" s="3"/>
      <c r="I2" s="3"/>
      <c r="J2" s="3"/>
      <c r="K2" s="3"/>
      <c r="L2" s="3"/>
    </row>
    <row r="3" spans="1:12" x14ac:dyDescent="0.25">
      <c r="A3" s="3"/>
      <c r="B3" s="3"/>
      <c r="C3" s="3"/>
      <c r="D3" s="3"/>
      <c r="E3" s="3"/>
      <c r="F3" s="3"/>
      <c r="G3" s="3"/>
      <c r="H3" s="3"/>
      <c r="I3" s="3"/>
      <c r="J3" s="3"/>
      <c r="K3" s="3"/>
      <c r="L3" s="3"/>
    </row>
    <row r="4" spans="1:12" x14ac:dyDescent="0.25">
      <c r="A4" s="3"/>
      <c r="B4" s="3"/>
      <c r="C4" s="3"/>
      <c r="D4" s="3"/>
      <c r="E4" s="3"/>
      <c r="F4" s="3"/>
      <c r="G4" s="3"/>
      <c r="H4" s="3"/>
      <c r="I4" s="3"/>
      <c r="J4" s="3"/>
      <c r="K4" s="3"/>
      <c r="L4" s="3"/>
    </row>
    <row r="5" spans="1:12" x14ac:dyDescent="0.25">
      <c r="A5" s="3"/>
      <c r="B5" s="3"/>
      <c r="C5" s="3"/>
      <c r="D5" s="3"/>
      <c r="E5" s="3"/>
      <c r="F5" s="3"/>
      <c r="G5" s="3"/>
      <c r="H5" s="3"/>
      <c r="I5" s="3"/>
      <c r="J5" s="3"/>
      <c r="K5" s="3"/>
      <c r="L5" s="3"/>
    </row>
    <row r="6" spans="1:12" x14ac:dyDescent="0.25">
      <c r="A6" s="3"/>
      <c r="B6" s="3"/>
      <c r="C6" s="3"/>
      <c r="D6" s="3"/>
      <c r="E6" s="3"/>
      <c r="F6" s="3"/>
      <c r="G6" s="3"/>
      <c r="H6" s="3"/>
      <c r="I6" s="3"/>
      <c r="J6" s="3"/>
      <c r="K6" s="3"/>
      <c r="L6" s="3"/>
    </row>
    <row r="7" spans="1:12" x14ac:dyDescent="0.25">
      <c r="A7" s="3"/>
      <c r="B7" s="3"/>
      <c r="C7" s="3"/>
      <c r="D7" s="3"/>
      <c r="E7" s="3"/>
      <c r="F7" s="3"/>
      <c r="G7" s="3"/>
      <c r="H7" s="3"/>
      <c r="I7" s="3"/>
      <c r="J7" s="3"/>
      <c r="K7" s="3"/>
      <c r="L7" s="3"/>
    </row>
    <row r="8" spans="1:12" x14ac:dyDescent="0.25">
      <c r="A8" s="3"/>
      <c r="B8" s="3"/>
      <c r="C8" s="3"/>
      <c r="D8" s="3"/>
      <c r="E8" s="3"/>
      <c r="F8" s="3"/>
      <c r="G8" s="3"/>
      <c r="H8" s="3"/>
      <c r="I8" s="3"/>
      <c r="J8" s="3"/>
      <c r="K8" s="3"/>
      <c r="L8" s="3"/>
    </row>
    <row r="9" spans="1:12" x14ac:dyDescent="0.25">
      <c r="A9" s="3"/>
      <c r="B9" s="3"/>
      <c r="C9" s="3"/>
      <c r="D9" s="3"/>
      <c r="E9" s="3"/>
      <c r="F9" s="3"/>
      <c r="G9" s="3"/>
      <c r="H9" s="3"/>
      <c r="I9" s="3"/>
      <c r="J9" s="3"/>
      <c r="K9" s="3"/>
      <c r="L9" s="3"/>
    </row>
    <row r="10" spans="1:12" x14ac:dyDescent="0.25">
      <c r="A10" s="3"/>
      <c r="B10" s="3"/>
      <c r="C10" s="3"/>
      <c r="D10" s="3"/>
      <c r="E10" s="3"/>
      <c r="F10" s="3"/>
      <c r="G10" s="3"/>
      <c r="H10" s="3"/>
      <c r="I10" s="3"/>
      <c r="J10" s="3"/>
      <c r="K10" s="3"/>
      <c r="L10" s="3"/>
    </row>
    <row r="11" spans="1:12" x14ac:dyDescent="0.25">
      <c r="A11" s="3"/>
      <c r="B11" s="3"/>
      <c r="C11" s="3"/>
      <c r="D11" s="3"/>
      <c r="E11" s="3"/>
      <c r="F11" s="3"/>
      <c r="G11" s="3"/>
      <c r="H11" s="3"/>
      <c r="I11" s="3"/>
      <c r="J11" s="3"/>
      <c r="K11" s="3"/>
      <c r="L11" s="3"/>
    </row>
    <row r="12" spans="1:12" x14ac:dyDescent="0.25">
      <c r="A12" s="3"/>
      <c r="B12" s="3"/>
      <c r="C12" s="3"/>
      <c r="D12" s="3"/>
      <c r="E12" s="3"/>
      <c r="F12" s="3"/>
      <c r="G12" s="3"/>
      <c r="H12" s="3"/>
      <c r="I12" s="3"/>
      <c r="J12" s="3"/>
      <c r="K12" s="3"/>
      <c r="L12" s="3"/>
    </row>
    <row r="13" spans="1:12" x14ac:dyDescent="0.25">
      <c r="A13" s="3"/>
      <c r="B13" s="3"/>
      <c r="C13" s="3"/>
      <c r="D13" s="3"/>
      <c r="E13" s="3"/>
      <c r="F13" s="3"/>
      <c r="G13" s="3"/>
      <c r="H13" s="3"/>
      <c r="I13" s="3"/>
      <c r="J13" s="3"/>
      <c r="K13" s="3"/>
      <c r="L13" s="3"/>
    </row>
    <row r="14" spans="1:12" x14ac:dyDescent="0.25">
      <c r="A14" s="3"/>
      <c r="B14" s="3"/>
      <c r="C14" s="3"/>
      <c r="D14" s="3"/>
      <c r="E14" s="3"/>
      <c r="F14" s="3"/>
      <c r="G14" s="3"/>
      <c r="H14" s="3"/>
      <c r="I14" s="3"/>
      <c r="J14" s="3"/>
      <c r="K14" s="3"/>
      <c r="L14" s="3"/>
    </row>
    <row r="15" spans="1:12" x14ac:dyDescent="0.25">
      <c r="A15" s="3"/>
      <c r="B15" s="3"/>
      <c r="C15" s="3"/>
      <c r="D15" s="3"/>
      <c r="E15" s="3"/>
      <c r="F15" s="3"/>
      <c r="G15" s="3"/>
      <c r="H15" s="3"/>
      <c r="I15" s="3"/>
      <c r="J15" s="3"/>
      <c r="K15" s="3"/>
      <c r="L15" s="3"/>
    </row>
    <row r="16" spans="1:12" x14ac:dyDescent="0.25">
      <c r="A16" s="3"/>
      <c r="B16" s="3"/>
      <c r="C16" s="3"/>
      <c r="D16" s="3"/>
      <c r="E16" s="3"/>
      <c r="F16" s="3"/>
      <c r="G16" s="3"/>
      <c r="H16" s="3"/>
      <c r="I16" s="3"/>
      <c r="J16" s="3"/>
      <c r="K16" s="3"/>
      <c r="L16" s="3"/>
    </row>
    <row r="17" spans="1:12" x14ac:dyDescent="0.25">
      <c r="A17" s="3"/>
      <c r="B17" s="3"/>
      <c r="C17" s="3"/>
      <c r="D17" s="3"/>
      <c r="E17" s="3"/>
      <c r="F17" s="3"/>
      <c r="G17" s="3"/>
      <c r="H17" s="3"/>
      <c r="I17" s="3"/>
      <c r="J17" s="3"/>
      <c r="K17" s="3"/>
      <c r="L17" s="3"/>
    </row>
    <row r="18" spans="1:12" x14ac:dyDescent="0.25">
      <c r="A18" s="3"/>
      <c r="B18" s="3"/>
      <c r="C18" s="3"/>
      <c r="D18" s="3"/>
      <c r="E18" s="3"/>
      <c r="F18" s="3"/>
      <c r="G18" s="3"/>
      <c r="H18" s="3"/>
      <c r="I18" s="3"/>
      <c r="J18" s="3"/>
      <c r="K18" s="3"/>
      <c r="L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3"/>
    </row>
    <row r="24" spans="1:12" x14ac:dyDescent="0.25">
      <c r="A24" s="3"/>
      <c r="B24" s="3"/>
      <c r="C24" s="3"/>
      <c r="D24" s="3"/>
      <c r="E24" s="3"/>
      <c r="F24" s="3"/>
      <c r="G24" s="3"/>
      <c r="H24" s="3"/>
      <c r="I24" s="3"/>
      <c r="J24" s="3"/>
      <c r="K24" s="3"/>
      <c r="L24" s="3"/>
    </row>
    <row r="25" spans="1:12" x14ac:dyDescent="0.25">
      <c r="A25" s="3"/>
      <c r="B25" s="3"/>
      <c r="C25" s="3"/>
      <c r="D25" s="3"/>
      <c r="E25" s="3"/>
      <c r="F25" s="3"/>
      <c r="G25" s="3"/>
      <c r="H25" s="3"/>
      <c r="I25" s="3"/>
      <c r="J25" s="3"/>
      <c r="K25" s="3"/>
      <c r="L25" s="3"/>
    </row>
    <row r="26" spans="1:12" x14ac:dyDescent="0.25">
      <c r="A26" s="3"/>
      <c r="B26" s="3"/>
      <c r="C26" s="3"/>
      <c r="D26" s="3"/>
      <c r="E26" s="3"/>
      <c r="F26" s="3"/>
      <c r="G26" s="3"/>
      <c r="H26" s="3"/>
      <c r="I26" s="3"/>
      <c r="J26" s="3"/>
      <c r="K26" s="3"/>
      <c r="L26" s="3"/>
    </row>
    <row r="27" spans="1:12" x14ac:dyDescent="0.25">
      <c r="A27" s="3"/>
      <c r="B27" s="3"/>
      <c r="C27" s="3"/>
      <c r="D27" s="3"/>
      <c r="E27" s="3"/>
      <c r="F27" s="3"/>
      <c r="G27" s="3"/>
      <c r="H27" s="3"/>
      <c r="I27" s="3"/>
      <c r="J27" s="3"/>
      <c r="K27" s="3"/>
      <c r="L27" s="3"/>
    </row>
    <row r="28" spans="1:12" x14ac:dyDescent="0.25">
      <c r="A28" s="3"/>
      <c r="B28" s="3"/>
      <c r="C28" s="3"/>
      <c r="D28" s="3"/>
      <c r="E28" s="3"/>
      <c r="F28" s="3"/>
      <c r="G28" s="3"/>
      <c r="H28" s="3"/>
      <c r="I28" s="3"/>
      <c r="J28" s="3"/>
      <c r="K28" s="3"/>
      <c r="L28" s="3"/>
    </row>
    <row r="29" spans="1:12" x14ac:dyDescent="0.25">
      <c r="A29" s="3"/>
      <c r="B29" s="3"/>
      <c r="C29" s="3"/>
      <c r="D29" s="3"/>
      <c r="E29" s="3"/>
      <c r="F29" s="3"/>
      <c r="G29" s="3"/>
      <c r="H29" s="3"/>
      <c r="I29" s="3"/>
      <c r="J29" s="3"/>
      <c r="K29" s="3"/>
      <c r="L29" s="3"/>
    </row>
    <row r="30" spans="1:12" x14ac:dyDescent="0.25">
      <c r="A30" s="3"/>
      <c r="B30" s="3"/>
      <c r="C30" s="3"/>
      <c r="D30" s="3"/>
      <c r="E30" s="3"/>
      <c r="F30" s="3"/>
      <c r="G30" s="3"/>
      <c r="H30" s="3"/>
      <c r="I30" s="3"/>
      <c r="J30" s="3"/>
      <c r="K30" s="3"/>
      <c r="L30" s="3"/>
    </row>
    <row r="31" spans="1:12" x14ac:dyDescent="0.25">
      <c r="A31" s="3"/>
      <c r="B31" s="3"/>
      <c r="C31" s="3"/>
      <c r="D31" s="3"/>
      <c r="E31" s="3"/>
      <c r="F31" s="3"/>
      <c r="G31" s="3"/>
      <c r="H31" s="3"/>
      <c r="I31" s="3"/>
      <c r="J31" s="3"/>
      <c r="K31" s="3"/>
      <c r="L31" s="3"/>
    </row>
    <row r="32" spans="1:12" x14ac:dyDescent="0.25">
      <c r="A32" s="3"/>
      <c r="B32" s="3"/>
      <c r="C32" s="3"/>
      <c r="D32" s="3"/>
      <c r="E32" s="3"/>
      <c r="F32" s="3"/>
      <c r="G32" s="3"/>
      <c r="H32" s="3"/>
      <c r="I32" s="3"/>
      <c r="J32" s="3"/>
      <c r="K32" s="3"/>
      <c r="L32" s="3"/>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row r="46" spans="1:12" x14ac:dyDescent="0.25">
      <c r="A46" s="3"/>
      <c r="B46" s="3"/>
      <c r="C46" s="3"/>
      <c r="D46" s="3"/>
      <c r="E46" s="3"/>
      <c r="F46" s="3"/>
      <c r="G46" s="3"/>
      <c r="H46" s="3"/>
      <c r="I46" s="3"/>
      <c r="J46" s="3"/>
      <c r="K46" s="3"/>
      <c r="L46" s="3"/>
    </row>
    <row r="47" spans="1:12" x14ac:dyDescent="0.25">
      <c r="A47" s="3"/>
      <c r="B47" s="3"/>
      <c r="C47" s="3"/>
      <c r="D47" s="3"/>
      <c r="E47" s="3"/>
      <c r="F47" s="3"/>
      <c r="G47" s="3"/>
      <c r="H47" s="3"/>
      <c r="I47" s="3"/>
      <c r="J47" s="3"/>
      <c r="K47" s="3"/>
      <c r="L47" s="3"/>
    </row>
    <row r="48" spans="1:12" x14ac:dyDescent="0.25">
      <c r="A48" s="3"/>
      <c r="B48" s="3"/>
      <c r="C48" s="3"/>
      <c r="D48" s="3"/>
      <c r="E48" s="3"/>
      <c r="F48" s="3"/>
      <c r="G48" s="3"/>
      <c r="H48" s="3"/>
      <c r="I48" s="3"/>
      <c r="J48" s="3"/>
      <c r="K48" s="3"/>
      <c r="L48" s="3"/>
    </row>
    <row r="49" spans="1:12" x14ac:dyDescent="0.25">
      <c r="A49" s="3"/>
      <c r="B49" s="3"/>
      <c r="C49" s="3"/>
      <c r="D49" s="3"/>
      <c r="E49" s="3"/>
      <c r="F49" s="3"/>
      <c r="G49" s="3"/>
      <c r="H49" s="3"/>
      <c r="I49" s="3"/>
      <c r="J49" s="3"/>
      <c r="K49" s="3"/>
      <c r="L49" s="3"/>
    </row>
    <row r="50" spans="1:12" x14ac:dyDescent="0.25">
      <c r="A50" s="3"/>
      <c r="B50" s="3"/>
      <c r="C50" s="3"/>
      <c r="D50" s="3"/>
      <c r="E50" s="3"/>
      <c r="F50" s="3"/>
      <c r="G50" s="3"/>
      <c r="H50" s="3"/>
      <c r="I50" s="3"/>
      <c r="J50" s="3"/>
      <c r="K50" s="3"/>
      <c r="L50" s="3"/>
    </row>
    <row r="51" spans="1:12" x14ac:dyDescent="0.25">
      <c r="A51" s="3"/>
      <c r="B51" s="3"/>
      <c r="C51" s="3"/>
      <c r="D51" s="3"/>
      <c r="E51" s="3"/>
      <c r="F51" s="3"/>
      <c r="G51" s="3"/>
      <c r="H51" s="3"/>
      <c r="I51" s="3"/>
      <c r="J51" s="3"/>
      <c r="K51" s="3"/>
      <c r="L51" s="3"/>
    </row>
    <row r="52" spans="1:12" x14ac:dyDescent="0.25">
      <c r="A52" s="3"/>
      <c r="B52" s="3"/>
      <c r="C52" s="3"/>
      <c r="D52" s="3"/>
      <c r="E52" s="3"/>
      <c r="F52" s="3"/>
      <c r="G52" s="3"/>
      <c r="H52" s="3"/>
      <c r="I52" s="3"/>
      <c r="J52" s="3"/>
      <c r="K52" s="3"/>
      <c r="L52" s="3"/>
    </row>
    <row r="53" spans="1:12" x14ac:dyDescent="0.25">
      <c r="A53" s="3"/>
      <c r="B53" s="3"/>
      <c r="C53" s="3"/>
      <c r="D53" s="3"/>
      <c r="E53" s="3"/>
      <c r="F53" s="3"/>
      <c r="G53" s="3"/>
      <c r="H53" s="3"/>
      <c r="I53" s="3"/>
      <c r="J53" s="3"/>
      <c r="K53" s="3"/>
      <c r="L53" s="3"/>
    </row>
    <row r="54" spans="1:12" x14ac:dyDescent="0.25">
      <c r="A54" s="3"/>
      <c r="B54" s="3"/>
      <c r="C54" s="3"/>
      <c r="D54" s="3"/>
      <c r="E54" s="3"/>
      <c r="F54" s="3"/>
      <c r="G54" s="3"/>
      <c r="H54" s="3"/>
      <c r="I54" s="3"/>
      <c r="J54" s="3"/>
      <c r="K54" s="3"/>
      <c r="L54" s="3"/>
    </row>
    <row r="55" spans="1:12" x14ac:dyDescent="0.25">
      <c r="A55" s="3"/>
      <c r="B55" s="3"/>
      <c r="C55" s="3"/>
      <c r="D55" s="3"/>
      <c r="E55" s="3"/>
      <c r="F55" s="3"/>
      <c r="G55" s="3"/>
      <c r="H55" s="3"/>
      <c r="I55" s="3"/>
      <c r="J55" s="3"/>
      <c r="K55" s="3"/>
      <c r="L55" s="3"/>
    </row>
    <row r="56" spans="1:12" x14ac:dyDescent="0.25">
      <c r="A56" s="3"/>
      <c r="B56" s="3"/>
      <c r="C56" s="3"/>
      <c r="D56" s="3"/>
      <c r="E56" s="3"/>
      <c r="F56" s="3"/>
      <c r="G56" s="3"/>
      <c r="H56" s="3"/>
      <c r="I56" s="3"/>
      <c r="J56" s="3"/>
      <c r="K56" s="3"/>
      <c r="L56" s="3"/>
    </row>
    <row r="57" spans="1:12" x14ac:dyDescent="0.25">
      <c r="A57" s="3"/>
      <c r="B57" s="3"/>
      <c r="C57" s="3"/>
      <c r="D57" s="3"/>
      <c r="E57" s="3"/>
      <c r="F57" s="3"/>
      <c r="G57" s="3"/>
      <c r="H57" s="3"/>
      <c r="I57" s="3"/>
      <c r="J57" s="3"/>
      <c r="K57" s="3"/>
      <c r="L57" s="3"/>
    </row>
    <row r="58" spans="1:12" x14ac:dyDescent="0.25">
      <c r="A58" s="3"/>
      <c r="B58" s="3"/>
      <c r="C58" s="3"/>
      <c r="D58" s="3"/>
      <c r="E58" s="3"/>
      <c r="F58" s="3"/>
      <c r="G58" s="3"/>
      <c r="H58" s="3"/>
      <c r="I58" s="3"/>
      <c r="J58" s="3"/>
      <c r="K58" s="3"/>
      <c r="L58" s="3"/>
    </row>
    <row r="59" spans="1:12" x14ac:dyDescent="0.25">
      <c r="A59" s="3"/>
      <c r="B59" s="3"/>
      <c r="C59" s="3"/>
      <c r="D59" s="3"/>
      <c r="E59" s="3"/>
      <c r="F59" s="3"/>
      <c r="G59" s="3"/>
      <c r="H59" s="3"/>
      <c r="I59" s="3"/>
      <c r="J59" s="3"/>
      <c r="K59" s="3"/>
      <c r="L59" s="3"/>
    </row>
    <row r="60" spans="1:12" x14ac:dyDescent="0.25">
      <c r="A60" s="3"/>
      <c r="B60" s="3"/>
      <c r="C60" s="3"/>
      <c r="D60" s="3"/>
      <c r="E60" s="3"/>
      <c r="F60" s="3"/>
      <c r="G60" s="3"/>
      <c r="H60" s="3"/>
      <c r="I60" s="3"/>
      <c r="J60" s="3"/>
      <c r="K60" s="3"/>
      <c r="L60" s="3"/>
    </row>
    <row r="61" spans="1:12" x14ac:dyDescent="0.25">
      <c r="A61" s="3"/>
      <c r="B61" s="3"/>
      <c r="C61" s="3"/>
      <c r="D61" s="3"/>
      <c r="E61" s="3"/>
      <c r="F61" s="3"/>
      <c r="G61" s="3"/>
      <c r="H61" s="3"/>
      <c r="I61" s="3"/>
      <c r="J61" s="3"/>
      <c r="K61" s="3"/>
      <c r="L61" s="3"/>
    </row>
    <row r="62" spans="1:12" x14ac:dyDescent="0.25">
      <c r="A62" s="3"/>
      <c r="B62" s="3"/>
      <c r="C62" s="3"/>
      <c r="D62" s="3"/>
      <c r="E62" s="3"/>
      <c r="F62" s="3"/>
      <c r="G62" s="3"/>
      <c r="H62" s="3"/>
      <c r="I62" s="3"/>
      <c r="J62" s="3"/>
      <c r="K62" s="3"/>
      <c r="L62" s="3"/>
    </row>
    <row r="63" spans="1:12" x14ac:dyDescent="0.25">
      <c r="A63" s="3"/>
      <c r="B63" s="3"/>
      <c r="C63" s="3"/>
      <c r="D63" s="3"/>
      <c r="E63" s="3"/>
      <c r="F63" s="3"/>
      <c r="G63" s="3"/>
      <c r="H63" s="3"/>
      <c r="I63" s="3"/>
      <c r="J63" s="3"/>
      <c r="K63" s="3"/>
      <c r="L63" s="3"/>
    </row>
    <row r="64" spans="1:12" x14ac:dyDescent="0.25">
      <c r="A64" s="3"/>
      <c r="B64" s="3"/>
      <c r="C64" s="3"/>
      <c r="D64" s="3"/>
      <c r="E64" s="3"/>
      <c r="F64" s="3"/>
      <c r="G64" s="3"/>
      <c r="H64" s="3"/>
      <c r="I64" s="3"/>
      <c r="J64" s="3"/>
      <c r="K64" s="3"/>
      <c r="L64" s="3"/>
    </row>
    <row r="65" spans="1:12" x14ac:dyDescent="0.25">
      <c r="A65" s="3"/>
      <c r="B65" s="3"/>
      <c r="C65" s="3"/>
      <c r="D65" s="3"/>
      <c r="E65" s="3"/>
      <c r="F65" s="3"/>
      <c r="G65" s="3"/>
      <c r="H65" s="3"/>
      <c r="I65" s="3"/>
      <c r="J65" s="3"/>
      <c r="K65" s="3"/>
      <c r="L65" s="3"/>
    </row>
    <row r="66" spans="1:12" x14ac:dyDescent="0.25">
      <c r="A66" s="3"/>
      <c r="B66" s="3"/>
      <c r="C66" s="3"/>
      <c r="D66" s="3"/>
      <c r="E66" s="3"/>
      <c r="F66" s="3"/>
      <c r="G66" s="3"/>
      <c r="H66" s="3"/>
      <c r="I66" s="3"/>
      <c r="J66" s="3"/>
      <c r="K66" s="3"/>
      <c r="L66" s="3"/>
    </row>
    <row r="67" spans="1:12" x14ac:dyDescent="0.25">
      <c r="A67" s="3"/>
      <c r="B67" s="3"/>
      <c r="C67" s="3"/>
      <c r="D67" s="3"/>
      <c r="E67" s="3"/>
      <c r="F67" s="3"/>
      <c r="G67" s="3"/>
      <c r="H67" s="3"/>
      <c r="I67" s="3"/>
      <c r="J67" s="3"/>
      <c r="K67" s="3"/>
      <c r="L67"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EB21E-D210-4CD9-AD64-711EDD59E78E}">
  <dimension ref="A1:S24"/>
  <sheetViews>
    <sheetView zoomScale="113" workbookViewId="0"/>
  </sheetViews>
  <sheetFormatPr defaultRowHeight="15" x14ac:dyDescent="0.25"/>
  <sheetData>
    <row r="1" spans="1:19" x14ac:dyDescent="0.25">
      <c r="A1" s="5"/>
      <c r="B1" s="5"/>
      <c r="C1" s="5"/>
      <c r="D1" s="5"/>
      <c r="E1" s="5"/>
      <c r="F1" s="5"/>
      <c r="G1" s="5"/>
      <c r="H1" s="5"/>
      <c r="I1" s="5"/>
      <c r="J1" s="5"/>
      <c r="K1" s="5"/>
      <c r="L1" s="5"/>
      <c r="M1" s="5"/>
      <c r="N1" s="5"/>
      <c r="O1" s="5"/>
      <c r="P1" s="5"/>
      <c r="Q1" s="5"/>
      <c r="R1" s="5"/>
      <c r="S1" s="5"/>
    </row>
    <row r="2" spans="1:19" x14ac:dyDescent="0.25">
      <c r="A2" s="5"/>
      <c r="B2" s="5"/>
      <c r="C2" s="5"/>
      <c r="D2" s="5"/>
      <c r="E2" s="5"/>
      <c r="F2" s="5"/>
      <c r="G2" s="5"/>
      <c r="H2" s="5"/>
      <c r="I2" s="5"/>
      <c r="J2" s="5"/>
      <c r="K2" s="5"/>
      <c r="L2" s="5"/>
      <c r="M2" s="5"/>
      <c r="N2" s="5"/>
      <c r="O2" s="5"/>
      <c r="P2" s="5"/>
      <c r="Q2" s="5"/>
      <c r="R2" s="5"/>
      <c r="S2" s="5"/>
    </row>
    <row r="3" spans="1:19" x14ac:dyDescent="0.25">
      <c r="A3" s="5"/>
      <c r="B3" s="5"/>
      <c r="C3" s="5"/>
      <c r="D3" s="5"/>
      <c r="E3" s="5"/>
      <c r="F3" s="5"/>
      <c r="G3" s="5"/>
      <c r="H3" s="5"/>
      <c r="I3" s="5"/>
      <c r="J3" s="5"/>
      <c r="K3" s="5"/>
      <c r="L3" s="5"/>
      <c r="M3" s="5"/>
      <c r="N3" s="5"/>
      <c r="O3" s="5"/>
      <c r="P3" s="5"/>
      <c r="Q3" s="5"/>
      <c r="R3" s="5"/>
      <c r="S3" s="5"/>
    </row>
    <row r="4" spans="1:19" x14ac:dyDescent="0.25">
      <c r="A4" s="5"/>
      <c r="B4" s="5"/>
      <c r="C4" s="5"/>
      <c r="D4" s="5"/>
      <c r="E4" s="5"/>
      <c r="F4" s="5"/>
      <c r="G4" s="5"/>
      <c r="H4" s="5"/>
      <c r="I4" s="5"/>
      <c r="J4" s="5"/>
      <c r="K4" s="5"/>
      <c r="L4" s="5"/>
      <c r="M4" s="5"/>
      <c r="N4" s="5"/>
      <c r="O4" s="5"/>
      <c r="P4" s="5"/>
      <c r="Q4" s="5"/>
      <c r="R4" s="5"/>
      <c r="S4" s="5"/>
    </row>
    <row r="5" spans="1:19" x14ac:dyDescent="0.25">
      <c r="A5" s="5"/>
      <c r="B5" s="5"/>
      <c r="C5" s="5"/>
      <c r="D5" s="5"/>
      <c r="E5" s="5"/>
      <c r="F5" s="5"/>
      <c r="G5" s="5"/>
      <c r="H5" s="5"/>
      <c r="I5" s="5"/>
      <c r="J5" s="5"/>
      <c r="K5" s="5"/>
      <c r="L5" s="5"/>
      <c r="M5" s="5"/>
      <c r="N5" s="5"/>
      <c r="O5" s="5"/>
      <c r="P5" s="5"/>
      <c r="Q5" s="5"/>
      <c r="R5" s="5"/>
      <c r="S5" s="5"/>
    </row>
    <row r="6" spans="1:19" x14ac:dyDescent="0.25">
      <c r="A6" s="5"/>
      <c r="B6" s="5"/>
      <c r="C6" s="5"/>
      <c r="D6" s="5"/>
      <c r="E6" s="5"/>
      <c r="F6" s="5"/>
      <c r="G6" s="5"/>
      <c r="H6" s="5"/>
      <c r="I6" s="5"/>
      <c r="J6" s="5"/>
      <c r="K6" s="5"/>
      <c r="L6" s="5"/>
      <c r="M6" s="5"/>
      <c r="N6" s="5"/>
      <c r="O6" s="5"/>
      <c r="P6" s="5"/>
      <c r="Q6" s="5"/>
      <c r="R6" s="5"/>
      <c r="S6" s="5"/>
    </row>
    <row r="7" spans="1:19" x14ac:dyDescent="0.25">
      <c r="A7" s="5"/>
      <c r="B7" s="5"/>
      <c r="C7" s="5"/>
      <c r="D7" s="5"/>
      <c r="E7" s="5"/>
      <c r="F7" s="5"/>
      <c r="G7" s="5"/>
      <c r="H7" s="5"/>
      <c r="I7" s="5"/>
      <c r="J7" s="5"/>
      <c r="K7" s="5"/>
      <c r="L7" s="5"/>
      <c r="M7" s="5"/>
      <c r="N7" s="5"/>
      <c r="O7" s="5"/>
      <c r="P7" s="5"/>
      <c r="Q7" s="5"/>
      <c r="R7" s="5"/>
      <c r="S7" s="5"/>
    </row>
    <row r="8" spans="1:19" x14ac:dyDescent="0.25">
      <c r="A8" s="5"/>
      <c r="B8" s="5"/>
      <c r="C8" s="5"/>
      <c r="D8" s="5"/>
      <c r="E8" s="5"/>
      <c r="F8" s="5"/>
      <c r="G8" s="5"/>
      <c r="H8" s="5"/>
      <c r="I8" s="5"/>
      <c r="J8" s="5"/>
      <c r="K8" s="5"/>
      <c r="L8" s="5"/>
      <c r="M8" s="5"/>
      <c r="N8" s="5"/>
      <c r="O8" s="5"/>
      <c r="P8" s="5"/>
      <c r="Q8" s="5"/>
      <c r="R8" s="5"/>
      <c r="S8" s="5"/>
    </row>
    <row r="9" spans="1:19" x14ac:dyDescent="0.25">
      <c r="A9" s="5"/>
      <c r="B9" s="5"/>
      <c r="C9" s="5"/>
      <c r="D9" s="5"/>
      <c r="E9" s="5"/>
      <c r="F9" s="5"/>
      <c r="G9" s="5"/>
      <c r="H9" s="5"/>
      <c r="I9" s="5"/>
      <c r="J9" s="5"/>
      <c r="K9" s="5"/>
      <c r="L9" s="5"/>
      <c r="M9" s="5"/>
      <c r="N9" s="5"/>
      <c r="O9" s="5"/>
      <c r="P9" s="5"/>
      <c r="Q9" s="5"/>
      <c r="R9" s="5"/>
      <c r="S9" s="5"/>
    </row>
    <row r="10" spans="1:19" x14ac:dyDescent="0.25">
      <c r="A10" s="5"/>
      <c r="B10" s="5"/>
      <c r="C10" s="5"/>
      <c r="D10" s="5"/>
      <c r="E10" s="5"/>
      <c r="F10" s="5"/>
      <c r="G10" s="5"/>
      <c r="H10" s="5"/>
      <c r="I10" s="5"/>
      <c r="J10" s="5"/>
      <c r="K10" s="5"/>
      <c r="L10" s="5"/>
      <c r="M10" s="5"/>
      <c r="N10" s="5"/>
      <c r="O10" s="5"/>
      <c r="P10" s="5"/>
      <c r="Q10" s="5"/>
      <c r="R10" s="5"/>
      <c r="S10" s="5"/>
    </row>
    <row r="11" spans="1:19" x14ac:dyDescent="0.25">
      <c r="A11" s="5"/>
      <c r="B11" s="5"/>
      <c r="C11" s="5"/>
      <c r="D11" s="5"/>
      <c r="E11" s="5"/>
      <c r="F11" s="5"/>
      <c r="G11" s="5"/>
      <c r="H11" s="5"/>
      <c r="I11" s="5"/>
      <c r="J11" s="5"/>
      <c r="K11" s="5"/>
      <c r="L11" s="5"/>
      <c r="M11" s="5"/>
      <c r="N11" s="5"/>
      <c r="O11" s="5"/>
      <c r="P11" s="5"/>
      <c r="Q11" s="5"/>
      <c r="R11" s="5"/>
      <c r="S11" s="5"/>
    </row>
    <row r="12" spans="1:19" x14ac:dyDescent="0.25">
      <c r="A12" s="5"/>
      <c r="B12" s="5"/>
      <c r="C12" s="5"/>
      <c r="D12" s="5"/>
      <c r="E12" s="5"/>
      <c r="F12" s="5"/>
      <c r="G12" s="5"/>
      <c r="H12" s="5"/>
      <c r="I12" s="5"/>
      <c r="J12" s="5"/>
      <c r="K12" s="5"/>
      <c r="L12" s="5"/>
      <c r="M12" s="5"/>
      <c r="N12" s="5"/>
      <c r="O12" s="5"/>
      <c r="P12" s="5"/>
      <c r="Q12" s="5"/>
      <c r="R12" s="5"/>
      <c r="S12" s="5"/>
    </row>
    <row r="13" spans="1:19" x14ac:dyDescent="0.25">
      <c r="A13" s="5"/>
      <c r="B13" s="5"/>
      <c r="C13" s="5"/>
      <c r="D13" s="5"/>
      <c r="E13" s="5"/>
      <c r="F13" s="5"/>
      <c r="G13" s="5"/>
      <c r="H13" s="5"/>
      <c r="I13" s="5"/>
      <c r="J13" s="5"/>
      <c r="K13" s="5"/>
      <c r="L13" s="5"/>
      <c r="M13" s="5"/>
      <c r="N13" s="5"/>
      <c r="O13" s="5"/>
      <c r="P13" s="5"/>
      <c r="Q13" s="5"/>
      <c r="R13" s="5"/>
      <c r="S13" s="5"/>
    </row>
    <row r="14" spans="1:19" x14ac:dyDescent="0.25">
      <c r="A14" s="5"/>
      <c r="B14" s="5"/>
      <c r="C14" s="5"/>
      <c r="D14" s="5"/>
      <c r="E14" s="5"/>
      <c r="F14" s="5"/>
      <c r="G14" s="5"/>
      <c r="H14" s="5"/>
      <c r="I14" s="5"/>
      <c r="J14" s="5"/>
      <c r="K14" s="5"/>
      <c r="L14" s="5"/>
      <c r="M14" s="5"/>
      <c r="N14" s="5"/>
      <c r="O14" s="5"/>
      <c r="P14" s="5"/>
      <c r="Q14" s="5"/>
      <c r="R14" s="5"/>
      <c r="S14" s="5"/>
    </row>
    <row r="15" spans="1:19" x14ac:dyDescent="0.25">
      <c r="A15" s="5"/>
      <c r="B15" s="5"/>
      <c r="C15" s="5"/>
      <c r="D15" s="5"/>
      <c r="E15" s="5"/>
      <c r="F15" s="5"/>
      <c r="G15" s="5"/>
      <c r="H15" s="5"/>
      <c r="I15" s="5"/>
      <c r="J15" s="5"/>
      <c r="K15" s="5"/>
      <c r="L15" s="5"/>
      <c r="M15" s="5"/>
      <c r="N15" s="5"/>
      <c r="O15" s="5"/>
      <c r="P15" s="5"/>
      <c r="Q15" s="5"/>
      <c r="R15" s="5"/>
      <c r="S15" s="5"/>
    </row>
    <row r="16" spans="1:19" x14ac:dyDescent="0.25">
      <c r="A16" s="5"/>
      <c r="B16" s="5"/>
      <c r="C16" s="5"/>
      <c r="D16" s="5"/>
      <c r="E16" s="5"/>
      <c r="F16" s="5"/>
      <c r="G16" s="5"/>
      <c r="H16" s="5"/>
      <c r="I16" s="5"/>
      <c r="J16" s="5"/>
      <c r="K16" s="5"/>
      <c r="L16" s="5"/>
      <c r="M16" s="5"/>
      <c r="N16" s="5"/>
      <c r="O16" s="5"/>
      <c r="P16" s="5"/>
      <c r="Q16" s="5"/>
      <c r="R16" s="5"/>
      <c r="S16" s="5"/>
    </row>
    <row r="17" spans="1:19" x14ac:dyDescent="0.25">
      <c r="A17" s="5"/>
      <c r="B17" s="5"/>
      <c r="C17" s="5"/>
      <c r="D17" s="5"/>
      <c r="E17" s="5"/>
      <c r="F17" s="5"/>
      <c r="G17" s="5"/>
      <c r="H17" s="5"/>
      <c r="I17" s="5"/>
      <c r="J17" s="5"/>
      <c r="K17" s="5"/>
      <c r="L17" s="5"/>
      <c r="M17" s="5"/>
      <c r="N17" s="5"/>
      <c r="O17" s="5"/>
      <c r="P17" s="5"/>
      <c r="Q17" s="5"/>
      <c r="R17" s="5"/>
      <c r="S17" s="5"/>
    </row>
    <row r="18" spans="1:19" x14ac:dyDescent="0.25">
      <c r="A18" s="5"/>
      <c r="B18" s="5"/>
      <c r="C18" s="5"/>
      <c r="D18" s="5"/>
      <c r="E18" s="5"/>
      <c r="F18" s="5"/>
      <c r="G18" s="5"/>
      <c r="H18" s="5"/>
      <c r="I18" s="5"/>
      <c r="J18" s="5"/>
      <c r="K18" s="5"/>
      <c r="L18" s="5"/>
      <c r="M18" s="5"/>
      <c r="N18" s="5"/>
      <c r="O18" s="5"/>
      <c r="P18" s="5"/>
      <c r="Q18" s="5"/>
      <c r="R18" s="5"/>
      <c r="S18" s="5"/>
    </row>
    <row r="19" spans="1:19" x14ac:dyDescent="0.25">
      <c r="A19" s="5"/>
      <c r="B19" s="5"/>
      <c r="C19" s="5"/>
      <c r="D19" s="5"/>
      <c r="E19" s="5"/>
      <c r="F19" s="5"/>
      <c r="G19" s="5"/>
      <c r="H19" s="5"/>
      <c r="I19" s="5"/>
      <c r="J19" s="5"/>
      <c r="K19" s="5"/>
      <c r="L19" s="5"/>
      <c r="M19" s="5"/>
      <c r="N19" s="5"/>
      <c r="O19" s="5"/>
      <c r="P19" s="5"/>
      <c r="Q19" s="5"/>
      <c r="R19" s="5"/>
      <c r="S19" s="5"/>
    </row>
    <row r="20" spans="1:19" x14ac:dyDescent="0.25">
      <c r="A20" s="5"/>
      <c r="B20" s="5"/>
      <c r="C20" s="5"/>
      <c r="D20" s="5"/>
      <c r="E20" s="5"/>
      <c r="F20" s="5"/>
      <c r="G20" s="5"/>
      <c r="H20" s="5"/>
      <c r="I20" s="5"/>
      <c r="J20" s="5"/>
      <c r="K20" s="5"/>
      <c r="L20" s="5"/>
      <c r="M20" s="5"/>
      <c r="N20" s="5"/>
      <c r="O20" s="5"/>
      <c r="P20" s="5"/>
      <c r="Q20" s="5"/>
      <c r="R20" s="5"/>
      <c r="S20" s="5"/>
    </row>
    <row r="21" spans="1:19" x14ac:dyDescent="0.25">
      <c r="A21" s="5"/>
      <c r="B21" s="5"/>
      <c r="C21" s="5"/>
      <c r="D21" s="5"/>
      <c r="E21" s="5"/>
      <c r="F21" s="5"/>
      <c r="G21" s="5"/>
      <c r="H21" s="5"/>
      <c r="I21" s="5"/>
      <c r="J21" s="5"/>
      <c r="K21" s="5"/>
      <c r="L21" s="5"/>
      <c r="M21" s="5"/>
      <c r="N21" s="5"/>
      <c r="O21" s="5"/>
      <c r="P21" s="5"/>
      <c r="Q21" s="5"/>
      <c r="R21" s="5"/>
      <c r="S21" s="5"/>
    </row>
    <row r="22" spans="1:19" x14ac:dyDescent="0.25">
      <c r="A22" s="5"/>
      <c r="B22" s="5"/>
      <c r="C22" s="5"/>
      <c r="D22" s="5"/>
      <c r="E22" s="5"/>
      <c r="F22" s="5"/>
      <c r="G22" s="5"/>
      <c r="H22" s="5"/>
      <c r="I22" s="5"/>
      <c r="J22" s="5"/>
      <c r="K22" s="5"/>
      <c r="L22" s="5"/>
      <c r="M22" s="5"/>
      <c r="N22" s="5"/>
      <c r="O22" s="5"/>
      <c r="P22" s="5"/>
      <c r="Q22" s="5"/>
      <c r="R22" s="5"/>
      <c r="S22" s="5"/>
    </row>
    <row r="23" spans="1:19" x14ac:dyDescent="0.25">
      <c r="A23" s="5"/>
      <c r="B23" s="5"/>
      <c r="C23" s="5"/>
      <c r="D23" s="5"/>
      <c r="E23" s="5"/>
      <c r="F23" s="5"/>
      <c r="G23" s="5"/>
      <c r="H23" s="5"/>
      <c r="I23" s="5"/>
      <c r="J23" s="5"/>
      <c r="K23" s="5"/>
      <c r="L23" s="5"/>
      <c r="M23" s="5"/>
      <c r="N23" s="5"/>
      <c r="O23" s="5"/>
      <c r="P23" s="5"/>
      <c r="Q23" s="5"/>
      <c r="R23" s="5"/>
      <c r="S23" s="5"/>
    </row>
    <row r="24" spans="1:19" x14ac:dyDescent="0.25">
      <c r="A24" s="5"/>
      <c r="B24" s="5"/>
      <c r="C24" s="5"/>
      <c r="D24" s="5"/>
      <c r="E24" s="5"/>
      <c r="F24" s="5"/>
      <c r="G24" s="5"/>
      <c r="H24" s="5"/>
      <c r="I24" s="5"/>
      <c r="J24" s="5"/>
      <c r="K24" s="5"/>
      <c r="L24" s="5"/>
      <c r="M24" s="5"/>
      <c r="N24" s="5"/>
      <c r="O24" s="5"/>
      <c r="P24" s="5"/>
      <c r="Q24" s="5"/>
      <c r="R24" s="5"/>
      <c r="S24"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6163-0AF8-4715-8030-971CC60810F0}">
  <dimension ref="A1:P25"/>
  <sheetViews>
    <sheetView zoomScale="146" workbookViewId="0"/>
  </sheetViews>
  <sheetFormatPr defaultRowHeight="15" x14ac:dyDescent="0.25"/>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x14ac:dyDescent="0.25">
      <c r="A3" s="5"/>
      <c r="B3" s="5"/>
      <c r="C3" s="5"/>
      <c r="D3" s="5"/>
      <c r="E3" s="5"/>
      <c r="F3" s="5"/>
      <c r="G3" s="5"/>
      <c r="H3" s="5"/>
      <c r="I3" s="5"/>
      <c r="J3" s="5"/>
      <c r="K3" s="5"/>
      <c r="L3" s="5"/>
      <c r="M3" s="5"/>
      <c r="N3" s="5"/>
      <c r="O3" s="5"/>
      <c r="P3" s="5"/>
    </row>
    <row r="4" spans="1:16" x14ac:dyDescent="0.25">
      <c r="A4" s="5"/>
      <c r="B4" s="5"/>
      <c r="C4" s="5"/>
      <c r="D4" s="5"/>
      <c r="E4" s="5"/>
      <c r="F4" s="5"/>
      <c r="G4" s="5"/>
      <c r="H4" s="5"/>
      <c r="I4" s="5"/>
      <c r="J4" s="5"/>
      <c r="K4" s="5"/>
      <c r="L4" s="5"/>
      <c r="M4" s="5"/>
      <c r="N4" s="5"/>
      <c r="O4" s="5"/>
      <c r="P4" s="5"/>
    </row>
    <row r="5" spans="1:16" x14ac:dyDescent="0.25">
      <c r="A5" s="5"/>
      <c r="B5" s="5"/>
      <c r="C5" s="5"/>
      <c r="D5" s="5"/>
      <c r="E5" s="5"/>
      <c r="F5" s="5"/>
      <c r="G5" s="5"/>
      <c r="H5" s="5"/>
      <c r="I5" s="5"/>
      <c r="J5" s="5"/>
      <c r="K5" s="5"/>
      <c r="L5" s="5"/>
      <c r="M5" s="5"/>
      <c r="N5" s="5"/>
      <c r="O5" s="5"/>
      <c r="P5" s="5"/>
    </row>
    <row r="6" spans="1:16" x14ac:dyDescent="0.25">
      <c r="A6" s="5"/>
      <c r="B6" s="5"/>
      <c r="C6" s="5"/>
      <c r="D6" s="5"/>
      <c r="E6" s="5"/>
      <c r="F6" s="5"/>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x14ac:dyDescent="0.25">
      <c r="A16" s="5"/>
      <c r="B16" s="5"/>
      <c r="C16" s="5"/>
      <c r="D16" s="5"/>
      <c r="E16" s="5"/>
      <c r="F16" s="5"/>
      <c r="G16" s="5"/>
      <c r="H16" s="5"/>
      <c r="I16" s="5"/>
      <c r="J16" s="5"/>
      <c r="K16" s="5"/>
      <c r="L16" s="5"/>
      <c r="M16" s="5"/>
      <c r="N16" s="5"/>
      <c r="O16" s="5"/>
      <c r="P16" s="5"/>
    </row>
    <row r="17" spans="1:16" x14ac:dyDescent="0.25">
      <c r="A17" s="5"/>
      <c r="B17" s="5"/>
      <c r="C17" s="5"/>
      <c r="D17" s="5"/>
      <c r="E17" s="5"/>
      <c r="F17" s="5"/>
      <c r="G17" s="5"/>
      <c r="H17" s="5"/>
      <c r="I17" s="5"/>
      <c r="J17" s="5"/>
      <c r="K17" s="5"/>
      <c r="L17" s="5"/>
      <c r="M17" s="5"/>
      <c r="N17" s="5"/>
      <c r="O17" s="5"/>
      <c r="P17" s="5"/>
    </row>
    <row r="18" spans="1:16" x14ac:dyDescent="0.25">
      <c r="A18" s="5"/>
      <c r="B18" s="5"/>
      <c r="C18" s="5"/>
      <c r="D18" s="5"/>
      <c r="E18" s="5"/>
      <c r="F18" s="5"/>
      <c r="G18" s="5"/>
      <c r="H18" s="5"/>
      <c r="I18" s="5"/>
      <c r="J18" s="5"/>
      <c r="K18" s="5"/>
      <c r="L18" s="5"/>
      <c r="M18" s="5"/>
      <c r="N18" s="5"/>
      <c r="O18" s="5"/>
      <c r="P18" s="5"/>
    </row>
    <row r="19" spans="1:16" x14ac:dyDescent="0.25">
      <c r="A19" s="5"/>
      <c r="B19" s="5"/>
      <c r="C19" s="5"/>
      <c r="D19" s="5"/>
      <c r="E19" s="5"/>
      <c r="F19" s="5"/>
      <c r="G19" s="5"/>
      <c r="H19" s="5"/>
      <c r="I19" s="5"/>
      <c r="J19" s="5"/>
      <c r="K19" s="5"/>
      <c r="L19" s="5"/>
      <c r="M19" s="5"/>
      <c r="N19" s="5"/>
      <c r="O19" s="5"/>
      <c r="P19" s="5"/>
    </row>
    <row r="20" spans="1:16" x14ac:dyDescent="0.25">
      <c r="A20" s="5"/>
      <c r="B20" s="5"/>
      <c r="C20" s="5"/>
      <c r="D20" s="5"/>
      <c r="E20" s="5"/>
      <c r="F20" s="5"/>
      <c r="G20" s="5"/>
      <c r="H20" s="5"/>
      <c r="I20" s="5"/>
      <c r="J20" s="5"/>
      <c r="K20" s="5"/>
      <c r="L20" s="5"/>
      <c r="M20" s="5"/>
      <c r="N20" s="5"/>
      <c r="O20" s="5"/>
      <c r="P20" s="5"/>
    </row>
    <row r="21" spans="1:16" x14ac:dyDescent="0.25">
      <c r="A21" s="5"/>
      <c r="B21" s="5"/>
      <c r="C21" s="5"/>
      <c r="D21" s="5"/>
      <c r="E21" s="5"/>
      <c r="F21" s="5"/>
      <c r="G21" s="5"/>
      <c r="H21" s="5"/>
      <c r="I21" s="5"/>
      <c r="J21" s="5"/>
      <c r="K21" s="5"/>
      <c r="L21" s="5"/>
      <c r="M21" s="5"/>
      <c r="N21" s="5"/>
      <c r="O21" s="5"/>
      <c r="P21" s="5"/>
    </row>
    <row r="22" spans="1:16" x14ac:dyDescent="0.25">
      <c r="A22" s="5"/>
      <c r="B22" s="5"/>
      <c r="C22" s="5"/>
      <c r="D22" s="5"/>
      <c r="E22" s="5"/>
      <c r="F22" s="5"/>
      <c r="G22" s="5"/>
      <c r="H22" s="5"/>
      <c r="I22" s="5"/>
      <c r="J22" s="5"/>
      <c r="K22" s="5"/>
      <c r="L22" s="5"/>
      <c r="M22" s="5"/>
      <c r="N22" s="5"/>
      <c r="O22" s="5"/>
      <c r="P22" s="5"/>
    </row>
    <row r="23" spans="1:16" x14ac:dyDescent="0.25">
      <c r="A23" s="5"/>
      <c r="B23" s="5"/>
      <c r="C23" s="5"/>
      <c r="D23" s="5"/>
      <c r="E23" s="5"/>
      <c r="F23" s="5"/>
      <c r="G23" s="5"/>
      <c r="H23" s="5"/>
      <c r="I23" s="5"/>
      <c r="J23" s="5"/>
      <c r="K23" s="5"/>
      <c r="L23" s="5"/>
      <c r="M23" s="5"/>
      <c r="N23" s="5"/>
      <c r="O23" s="5"/>
      <c r="P23" s="5"/>
    </row>
    <row r="24" spans="1:16" x14ac:dyDescent="0.25">
      <c r="A24" s="5"/>
      <c r="B24" s="5"/>
      <c r="C24" s="5"/>
      <c r="D24" s="5"/>
      <c r="E24" s="5"/>
      <c r="F24" s="5"/>
      <c r="G24" s="5"/>
      <c r="H24" s="5"/>
      <c r="I24" s="5"/>
      <c r="J24" s="5"/>
      <c r="K24" s="5"/>
      <c r="L24" s="5"/>
      <c r="M24" s="5"/>
      <c r="N24" s="5"/>
      <c r="O24" s="5"/>
      <c r="P24" s="5"/>
    </row>
    <row r="25" spans="1:16" x14ac:dyDescent="0.25">
      <c r="A25" s="5"/>
      <c r="B25" s="5"/>
      <c r="C25" s="5"/>
      <c r="D25" s="5"/>
      <c r="E25" s="5"/>
      <c r="F25" s="5"/>
      <c r="G25" s="5"/>
      <c r="H25" s="5"/>
      <c r="I25" s="5"/>
      <c r="J25" s="5"/>
      <c r="K25" s="5"/>
      <c r="L25" s="5"/>
      <c r="M25" s="5"/>
      <c r="N25" s="5"/>
      <c r="O25" s="5"/>
      <c r="P2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87C84-471A-4FE6-98D7-0F9C59B6278A}">
  <dimension ref="A1:K24"/>
  <sheetViews>
    <sheetView zoomScale="186" workbookViewId="0"/>
  </sheetViews>
  <sheetFormatPr defaultRowHeight="15" x14ac:dyDescent="0.25"/>
  <sheetData>
    <row r="1" spans="1:11" x14ac:dyDescent="0.25">
      <c r="A1" s="5"/>
      <c r="B1" s="5"/>
      <c r="C1" s="5"/>
      <c r="D1" s="5"/>
      <c r="E1" s="5"/>
      <c r="F1" s="5"/>
      <c r="G1" s="5"/>
      <c r="H1" s="5"/>
      <c r="I1" s="5"/>
      <c r="J1" s="5"/>
      <c r="K1" s="5"/>
    </row>
    <row r="2" spans="1:11" x14ac:dyDescent="0.25">
      <c r="A2" s="5"/>
      <c r="B2" s="5"/>
      <c r="C2" s="5"/>
      <c r="D2" s="5"/>
      <c r="E2" s="5"/>
      <c r="F2" s="5"/>
      <c r="G2" s="5"/>
      <c r="H2" s="5"/>
      <c r="I2" s="5"/>
      <c r="J2" s="5"/>
      <c r="K2" s="5"/>
    </row>
    <row r="3" spans="1:11" x14ac:dyDescent="0.25">
      <c r="A3" s="5"/>
      <c r="B3" s="5"/>
      <c r="C3" s="5"/>
      <c r="D3" s="5"/>
      <c r="E3" s="5"/>
      <c r="F3" s="5"/>
      <c r="G3" s="5"/>
      <c r="H3" s="5"/>
      <c r="I3" s="5"/>
      <c r="J3" s="5"/>
      <c r="K3" s="5"/>
    </row>
    <row r="4" spans="1:11" x14ac:dyDescent="0.25">
      <c r="A4" s="5"/>
      <c r="B4" s="5"/>
      <c r="C4" s="5"/>
      <c r="D4" s="5"/>
      <c r="E4" s="5"/>
      <c r="F4" s="5"/>
      <c r="G4" s="5"/>
      <c r="H4" s="5"/>
      <c r="I4" s="5"/>
      <c r="J4" s="5"/>
      <c r="K4" s="5"/>
    </row>
    <row r="5" spans="1:11" x14ac:dyDescent="0.25">
      <c r="A5" s="5"/>
      <c r="B5" s="5"/>
      <c r="C5" s="5"/>
      <c r="D5" s="5"/>
      <c r="E5" s="5"/>
      <c r="F5" s="5"/>
      <c r="G5" s="5"/>
      <c r="H5" s="5"/>
      <c r="I5" s="5"/>
      <c r="J5" s="5"/>
      <c r="K5" s="5"/>
    </row>
    <row r="6" spans="1:11" x14ac:dyDescent="0.25">
      <c r="A6" s="5"/>
      <c r="B6" s="5"/>
      <c r="C6" s="5"/>
      <c r="D6" s="5"/>
      <c r="E6" s="5"/>
      <c r="F6" s="5"/>
      <c r="G6" s="5"/>
      <c r="H6" s="5"/>
      <c r="I6" s="5"/>
      <c r="J6" s="5"/>
      <c r="K6" s="5"/>
    </row>
    <row r="7" spans="1:11" x14ac:dyDescent="0.25">
      <c r="A7" s="5"/>
      <c r="B7" s="5"/>
      <c r="C7" s="5"/>
      <c r="D7" s="5"/>
      <c r="E7" s="5"/>
      <c r="F7" s="5"/>
      <c r="G7" s="5"/>
      <c r="H7" s="5"/>
      <c r="I7" s="5"/>
      <c r="J7" s="5"/>
      <c r="K7" s="5"/>
    </row>
    <row r="8" spans="1:11" x14ac:dyDescent="0.25">
      <c r="A8" s="5"/>
      <c r="B8" s="5"/>
      <c r="C8" s="5"/>
      <c r="D8" s="5"/>
      <c r="E8" s="5"/>
      <c r="F8" s="5"/>
      <c r="G8" s="5"/>
      <c r="H8" s="5"/>
      <c r="I8" s="5"/>
      <c r="J8" s="5"/>
      <c r="K8" s="5"/>
    </row>
    <row r="9" spans="1:11" x14ac:dyDescent="0.25">
      <c r="A9" s="5"/>
      <c r="B9" s="5"/>
      <c r="C9" s="5"/>
      <c r="D9" s="5"/>
      <c r="E9" s="5"/>
      <c r="F9" s="5"/>
      <c r="G9" s="5"/>
      <c r="H9" s="5"/>
      <c r="I9" s="5"/>
      <c r="J9" s="5"/>
      <c r="K9" s="5"/>
    </row>
    <row r="10" spans="1:11" x14ac:dyDescent="0.25">
      <c r="A10" s="5"/>
      <c r="B10" s="5"/>
      <c r="C10" s="5"/>
      <c r="D10" s="5"/>
      <c r="E10" s="5"/>
      <c r="F10" s="5"/>
      <c r="G10" s="5"/>
      <c r="H10" s="5"/>
      <c r="I10" s="5"/>
      <c r="J10" s="5"/>
      <c r="K10" s="5"/>
    </row>
    <row r="11" spans="1:11" x14ac:dyDescent="0.25">
      <c r="A11" s="5"/>
      <c r="B11" s="5"/>
      <c r="C11" s="5"/>
      <c r="D11" s="5"/>
      <c r="E11" s="5"/>
      <c r="F11" s="5"/>
      <c r="G11" s="5"/>
      <c r="H11" s="5"/>
      <c r="I11" s="5"/>
      <c r="J11" s="5"/>
      <c r="K11" s="5"/>
    </row>
    <row r="12" spans="1:11" x14ac:dyDescent="0.25">
      <c r="A12" s="5"/>
      <c r="B12" s="5"/>
      <c r="C12" s="5"/>
      <c r="D12" s="5"/>
      <c r="E12" s="5"/>
      <c r="F12" s="5"/>
      <c r="G12" s="5"/>
      <c r="H12" s="5"/>
      <c r="I12" s="5"/>
      <c r="J12" s="5"/>
      <c r="K12" s="5"/>
    </row>
    <row r="13" spans="1:11" x14ac:dyDescent="0.25">
      <c r="A13" s="5"/>
      <c r="B13" s="5"/>
      <c r="C13" s="5"/>
      <c r="D13" s="5"/>
      <c r="E13" s="5"/>
      <c r="F13" s="5"/>
      <c r="G13" s="5"/>
      <c r="H13" s="5"/>
      <c r="I13" s="5"/>
      <c r="J13" s="5"/>
      <c r="K13" s="5"/>
    </row>
    <row r="14" spans="1:11" x14ac:dyDescent="0.25">
      <c r="A14" s="5"/>
      <c r="B14" s="5"/>
      <c r="C14" s="5"/>
      <c r="D14" s="5"/>
      <c r="E14" s="5"/>
      <c r="F14" s="5"/>
      <c r="G14" s="5"/>
      <c r="H14" s="5"/>
      <c r="I14" s="5"/>
      <c r="J14" s="5"/>
      <c r="K14" s="5"/>
    </row>
    <row r="15" spans="1:11" x14ac:dyDescent="0.25">
      <c r="A15" s="5"/>
      <c r="B15" s="5"/>
      <c r="C15" s="5"/>
      <c r="D15" s="5"/>
      <c r="E15" s="5"/>
      <c r="F15" s="5"/>
      <c r="G15" s="5"/>
      <c r="H15" s="5"/>
      <c r="I15" s="5"/>
      <c r="J15" s="5"/>
      <c r="K15" s="5"/>
    </row>
    <row r="16" spans="1:11" x14ac:dyDescent="0.25">
      <c r="A16" s="5"/>
      <c r="B16" s="5"/>
      <c r="C16" s="5"/>
      <c r="D16" s="5"/>
      <c r="E16" s="5"/>
      <c r="F16" s="5"/>
      <c r="G16" s="5"/>
      <c r="H16" s="5"/>
      <c r="I16" s="5"/>
      <c r="J16" s="5"/>
      <c r="K16" s="5"/>
    </row>
    <row r="17" spans="1:11" x14ac:dyDescent="0.25">
      <c r="A17" s="5"/>
      <c r="B17" s="5"/>
      <c r="C17" s="5"/>
      <c r="D17" s="5"/>
      <c r="E17" s="5"/>
      <c r="F17" s="5"/>
      <c r="G17" s="5"/>
      <c r="H17" s="5"/>
      <c r="I17" s="5"/>
      <c r="J17" s="5"/>
      <c r="K17" s="5"/>
    </row>
    <row r="18" spans="1:11" x14ac:dyDescent="0.25">
      <c r="A18" s="5"/>
      <c r="B18" s="5"/>
      <c r="C18" s="5"/>
      <c r="D18" s="5"/>
      <c r="E18" s="5"/>
      <c r="F18" s="5"/>
      <c r="G18" s="5"/>
      <c r="H18" s="5"/>
      <c r="I18" s="5"/>
      <c r="J18" s="5"/>
      <c r="K18" s="5"/>
    </row>
    <row r="19" spans="1:11" x14ac:dyDescent="0.25">
      <c r="A19" s="5"/>
      <c r="B19" s="5"/>
      <c r="C19" s="5"/>
      <c r="D19" s="5"/>
      <c r="E19" s="5"/>
      <c r="F19" s="5"/>
      <c r="G19" s="5"/>
      <c r="H19" s="5"/>
      <c r="I19" s="5"/>
      <c r="J19" s="5"/>
      <c r="K19" s="5"/>
    </row>
    <row r="20" spans="1:11" x14ac:dyDescent="0.25">
      <c r="A20" s="5"/>
      <c r="B20" s="5"/>
      <c r="C20" s="5"/>
      <c r="D20" s="5"/>
      <c r="E20" s="5"/>
      <c r="F20" s="5"/>
      <c r="G20" s="5"/>
      <c r="H20" s="5"/>
      <c r="I20" s="5"/>
      <c r="J20" s="5"/>
      <c r="K20" s="5"/>
    </row>
    <row r="21" spans="1:11" x14ac:dyDescent="0.25">
      <c r="A21" s="5"/>
      <c r="B21" s="5"/>
      <c r="C21" s="5"/>
      <c r="D21" s="5"/>
      <c r="E21" s="5"/>
      <c r="F21" s="5"/>
      <c r="G21" s="5"/>
      <c r="H21" s="5"/>
      <c r="I21" s="5"/>
      <c r="J21" s="5"/>
      <c r="K21" s="5"/>
    </row>
    <row r="22" spans="1:11" x14ac:dyDescent="0.25">
      <c r="A22" s="5"/>
      <c r="B22" s="5"/>
      <c r="C22" s="5"/>
      <c r="D22" s="5"/>
      <c r="E22" s="5"/>
      <c r="F22" s="5"/>
      <c r="G22" s="5"/>
      <c r="H22" s="5"/>
      <c r="I22" s="5"/>
      <c r="J22" s="5"/>
      <c r="K22" s="5"/>
    </row>
    <row r="23" spans="1:11" x14ac:dyDescent="0.25">
      <c r="A23" s="5"/>
      <c r="B23" s="5"/>
      <c r="C23" s="5"/>
      <c r="D23" s="5"/>
      <c r="E23" s="5"/>
      <c r="F23" s="5"/>
      <c r="G23" s="5"/>
      <c r="H23" s="5"/>
      <c r="I23" s="5"/>
      <c r="J23" s="5"/>
      <c r="K23" s="5"/>
    </row>
    <row r="24" spans="1:11" x14ac:dyDescent="0.25">
      <c r="A24" s="5"/>
      <c r="B24" s="5"/>
      <c r="C24" s="5"/>
      <c r="D24" s="5"/>
      <c r="E24" s="5"/>
      <c r="F24" s="5"/>
      <c r="G24" s="5"/>
      <c r="H24" s="5"/>
      <c r="I24" s="5"/>
      <c r="J24" s="5"/>
      <c r="K2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09CD5E0-B27C-4F0E-ACF0-451DF7676093}">
  <ds:schemaRefs/>
</ds:datastoreItem>
</file>

<file path=customXml/itemProps2.xml><?xml version="1.0" encoding="utf-8"?>
<ds:datastoreItem xmlns:ds="http://schemas.openxmlformats.org/officeDocument/2006/customXml" ds:itemID="{103DDAFF-D5A2-46C5-9231-8DCF5D4F12C3}">
  <ds:schemaRefs/>
</ds:datastoreItem>
</file>

<file path=customXml/itemProps3.xml><?xml version="1.0" encoding="utf-8"?>
<ds:datastoreItem xmlns:ds="http://schemas.openxmlformats.org/officeDocument/2006/customXml" ds:itemID="{19651526-9062-429F-ABE9-8B3152761C72}">
  <ds:schemaRefs/>
</ds:datastoreItem>
</file>

<file path=customXml/itemProps4.xml><?xml version="1.0" encoding="utf-8"?>
<ds:datastoreItem xmlns:ds="http://schemas.openxmlformats.org/officeDocument/2006/customXml" ds:itemID="{52CEBF72-35BC-4441-8F36-68E20415039D}">
  <ds:schemaRefs/>
</ds:datastoreItem>
</file>

<file path=customXml/itemProps5.xml><?xml version="1.0" encoding="utf-8"?>
<ds:datastoreItem xmlns:ds="http://schemas.openxmlformats.org/officeDocument/2006/customXml" ds:itemID="{09CAF0D2-F436-439A-8AE7-5D2B844F821D}">
  <ds:schemaRefs/>
</ds:datastoreItem>
</file>

<file path=customXml/itemProps6.xml><?xml version="1.0" encoding="utf-8"?>
<ds:datastoreItem xmlns:ds="http://schemas.openxmlformats.org/officeDocument/2006/customXml" ds:itemID="{0573939D-5594-497D-B19C-122B68FB6BA4}">
  <ds:schemaRefs/>
</ds:datastoreItem>
</file>

<file path=customXml/itemProps7.xml><?xml version="1.0" encoding="utf-8"?>
<ds:datastoreItem xmlns:ds="http://schemas.openxmlformats.org/officeDocument/2006/customXml" ds:itemID="{ADC3487A-662E-4B18-B7F4-E3F5B92AEB9E}">
  <ds:schemaRefs/>
</ds:datastoreItem>
</file>

<file path=customXml/itemProps8.xml><?xml version="1.0" encoding="utf-8"?>
<ds:datastoreItem xmlns:ds="http://schemas.openxmlformats.org/officeDocument/2006/customXml" ds:itemID="{EAB628EA-9D9E-4D9F-B5D7-CB339CE871F9}">
  <ds:schemaRefs/>
</ds:datastoreItem>
</file>

<file path=customXml/itemProps9.xml><?xml version="1.0" encoding="utf-8"?>
<ds:datastoreItem xmlns:ds="http://schemas.openxmlformats.org/officeDocument/2006/customXml" ds:itemID="{4EDCA3CE-823F-479D-A923-E881BAB8F1A8}">
  <ds:schemaRefs>
    <ds:schemaRef ds:uri="http://schemas.microsoft.com/DataMashup"/>
  </ds:schemaRefs>
</ds:datastoreItem>
</file>

<file path=customXml/itemProps10.xml><?xml version="1.0" encoding="utf-8"?>
<ds:datastoreItem xmlns:ds="http://schemas.openxmlformats.org/officeDocument/2006/customXml" ds:itemID="{569CCA42-5A89-4655-9218-6CC72A065F71}">
  <ds:schemaRefs/>
</ds:datastoreItem>
</file>

<file path=customXml/itemProps11.xml><?xml version="1.0" encoding="utf-8"?>
<ds:datastoreItem xmlns:ds="http://schemas.openxmlformats.org/officeDocument/2006/customXml" ds:itemID="{4D3E2C41-8ED9-41AF-8406-F99F57DA22E2}">
  <ds:schemaRefs/>
</ds:datastoreItem>
</file>

<file path=customXml/itemProps12.xml><?xml version="1.0" encoding="utf-8"?>
<ds:datastoreItem xmlns:ds="http://schemas.openxmlformats.org/officeDocument/2006/customXml" ds:itemID="{580B72A3-2C49-470C-9727-9BA3783299F6}">
  <ds:schemaRefs/>
</ds:datastoreItem>
</file>

<file path=customXml/itemProps13.xml><?xml version="1.0" encoding="utf-8"?>
<ds:datastoreItem xmlns:ds="http://schemas.openxmlformats.org/officeDocument/2006/customXml" ds:itemID="{6383B114-1982-4F89-A637-6D7A7418F3A7}">
  <ds:schemaRefs/>
</ds:datastoreItem>
</file>

<file path=customXml/itemProps14.xml><?xml version="1.0" encoding="utf-8"?>
<ds:datastoreItem xmlns:ds="http://schemas.openxmlformats.org/officeDocument/2006/customXml" ds:itemID="{27ABD1D5-7387-4C53-9EE3-662790128DC4}">
  <ds:schemaRefs/>
</ds:datastoreItem>
</file>

<file path=customXml/itemProps15.xml><?xml version="1.0" encoding="utf-8"?>
<ds:datastoreItem xmlns:ds="http://schemas.openxmlformats.org/officeDocument/2006/customXml" ds:itemID="{59D849A3-5AFC-4CAC-A33B-7DFD99B8CF19}">
  <ds:schemaRefs/>
</ds:datastoreItem>
</file>

<file path=customXml/itemProps16.xml><?xml version="1.0" encoding="utf-8"?>
<ds:datastoreItem xmlns:ds="http://schemas.openxmlformats.org/officeDocument/2006/customXml" ds:itemID="{EBECF626-9E85-4C55-AF2C-729951B14DA3}">
  <ds:schemaRefs/>
</ds:datastoreItem>
</file>

<file path=customXml/itemProps17.xml><?xml version="1.0" encoding="utf-8"?>
<ds:datastoreItem xmlns:ds="http://schemas.openxmlformats.org/officeDocument/2006/customXml" ds:itemID="{0BE7B489-829A-40D0-8E8A-1D1C21BCAC5B}">
  <ds:schemaRefs/>
</ds:datastoreItem>
</file>

<file path=customXml/itemProps18.xml><?xml version="1.0" encoding="utf-8"?>
<ds:datastoreItem xmlns:ds="http://schemas.openxmlformats.org/officeDocument/2006/customXml" ds:itemID="{53C3A708-A21C-4C2A-AC7E-BBFBF69FD5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 satisfication score</vt:lpstr>
      <vt:lpstr>Average Wait Time</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Dhage</dc:creator>
  <cp:lastModifiedBy>Vishal Dhage</cp:lastModifiedBy>
  <dcterms:created xsi:type="dcterms:W3CDTF">2025-02-04T10:22:34Z</dcterms:created>
  <dcterms:modified xsi:type="dcterms:W3CDTF">2025-02-10T13:19:05Z</dcterms:modified>
</cp:coreProperties>
</file>